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S112622\Downloads\OneLinkAdminTool\SonarVulnReporter\dist\output\"/>
    </mc:Choice>
  </mc:AlternateContent>
  <xr:revisionPtr revIDLastSave="0" documentId="13_ncr:1_{0352F28C-5BB9-4A90-9237-E2AFDA851B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ugust'26-Master Sheet" sheetId="1" r:id="rId1"/>
    <sheet name="August'26-ActiveBranches" sheetId="2" r:id="rId2"/>
    <sheet name="August'26-Vuln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O47" i="3"/>
  <c r="N47" i="3"/>
  <c r="M47" i="3"/>
  <c r="L47" i="3"/>
  <c r="I47" i="3"/>
  <c r="H47" i="3"/>
  <c r="G47" i="3"/>
  <c r="F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47" i="3" s="1"/>
  <c r="J3" i="3"/>
  <c r="J47" i="3" l="1"/>
</calcChain>
</file>

<file path=xl/sharedStrings.xml><?xml version="1.0" encoding="utf-8"?>
<sst xmlns="http://schemas.openxmlformats.org/spreadsheetml/2006/main" count="558" uniqueCount="116">
  <si>
    <t>No.</t>
  </si>
  <si>
    <t>Product</t>
  </si>
  <si>
    <t>Applicable for Data</t>
  </si>
  <si>
    <t>Repo Link</t>
  </si>
  <si>
    <t>Sonar Report Available?</t>
  </si>
  <si>
    <t>SonarQube Project</t>
  </si>
  <si>
    <t>SonarQube Project Link</t>
  </si>
  <si>
    <t>Comments</t>
  </si>
  <si>
    <t>ati-cxs-LoyaltyKiosk-KioskManager</t>
  </si>
  <si>
    <t>Yes</t>
  </si>
  <si>
    <t>https://quality.aristocrat.com/dashboard?id=ati-cxs-LoyaltyKiosk-KioskManager</t>
  </si>
  <si>
    <t>ati-cxs-OasisLoyalty-BucketsManagement</t>
  </si>
  <si>
    <t>https://quality.aristocrat.com/dashboard?id=ati-cxs-OasisLoyalty-BucketsManagement</t>
  </si>
  <si>
    <t>ati-cxs-OasisLoyalty-BucketsTransactions</t>
  </si>
  <si>
    <t>https://quality.aristocrat.com/dashboard?id=ati-cxs-OasisLoyalty-BucketsTransactions</t>
  </si>
  <si>
    <t>ati-cxs-OasisLoyalty-BulkCardPrint</t>
  </si>
  <si>
    <t>https://quality.aristocrat.com/dashboard?id=ati-cxs-OasisLoyalty-BulkCardPrint</t>
  </si>
  <si>
    <t>ati-cxs-OasisLoyalty-DeliveryService</t>
  </si>
  <si>
    <t>https://quality.aristocrat.com/dashboard?id=ati-cxs-OasisLoyalty-DeliveryService</t>
  </si>
  <si>
    <t>ati-cxs-OasisLoyalty-Doorman</t>
  </si>
  <si>
    <t>https://quality.aristocrat.com/dashboard?id=ati-cxs-OasisLoyalty-Doorman</t>
  </si>
  <si>
    <t>ati-cxs-OasisLoyalty-DoormanService</t>
  </si>
  <si>
    <t>https://quality.aristocrat.com/dashboard?id=ati-cxs-OasisLoyalty-DoormanService</t>
  </si>
  <si>
    <t>ati-cxs-OasisLoyalty-EncryptIdentity</t>
  </si>
  <si>
    <t>https://quality.aristocrat.com/dashboard?id=ati-cxs-OasisLoyalty-EncryptIdentity</t>
  </si>
  <si>
    <t>ati-cxs-OasisLoyalty-Encryptifier</t>
  </si>
  <si>
    <t>https://quality.aristocrat.com/dashboard?id=ati-cxs-OasisLoyalty-Encryptifier</t>
  </si>
  <si>
    <t>ati-cxs-OasisLoyalty-Encryptor</t>
  </si>
  <si>
    <t>https://quality.aristocrat.com/dashboard?id=ati-cxs-OasisLoyalty-Encryptor</t>
  </si>
  <si>
    <t>ati-cxs-OasisLoyalty-GatewayTesterApp</t>
  </si>
  <si>
    <t>https://quality.aristocrat.com/dashboard?id=ati-cxs-OasisLoyalty-GatewayTesterApp</t>
  </si>
  <si>
    <t>ati-cxs-OasisLoyalty-InitialImporter</t>
  </si>
  <si>
    <t>https://quality.aristocrat.com/dashboard?id=ati-cxs-OasisLoyalty-InitialImporter</t>
  </si>
  <si>
    <t>ati-cxs-OasisLoyalty-IntegrationGateway</t>
  </si>
  <si>
    <t>https://quality.aristocrat.com/dashboard?id=ati-cxs-OasisLoyalty-IntegrationGateway</t>
  </si>
  <si>
    <t>ati-cxs-OasisLoyalty-InventoryCashCheckout</t>
  </si>
  <si>
    <t>https://quality.aristocrat.com/dashboard?id=ati-cxs-OasisLoyalty-InventoryCashCheckout</t>
  </si>
  <si>
    <t>ati-cxs-OasisLoyalty-KioskGateway</t>
  </si>
  <si>
    <t>https://quality.aristocrat.com/dashboard?id=ati-cxs-OasisLoyalty-KioskGateway</t>
  </si>
  <si>
    <t>ati-cxs-OasisLoyalty-LoginSyncService</t>
  </si>
  <si>
    <t>https://quality.aristocrat.com/dashboard?id=ati-cxs-OasisLoyalty-LoginSyncService</t>
  </si>
  <si>
    <t>ati-cxs-OasisLoyalty-Lookup</t>
  </si>
  <si>
    <t>https://quality.aristocrat.com/dashboard?id=ati-cxs-OasisLoyalty-Lookup</t>
  </si>
  <si>
    <t>ati-cxs-OasisLoyalty-LoyaltyAssist</t>
  </si>
  <si>
    <t>https://quality.aristocrat.com/dashboard?id=ati-cxs-OasisLoyalty-LoyaltyAssist</t>
  </si>
  <si>
    <t>ati-cxs-OasisLoyalty-LoyaltyBackend</t>
  </si>
  <si>
    <t>https://quality.aristocrat.com/dashboard?id=ati-cxs-OasisLoyalty-LoyaltyBackend</t>
  </si>
  <si>
    <t>ati-cxs-OasisLoyalty-LoyaltyCoretoolbox</t>
  </si>
  <si>
    <t>https://quality.aristocrat.com/dashboard?id=ati-cxs-OasisLoyalty-LoyaltyCoretoolbox</t>
  </si>
  <si>
    <t>ati-cxs-OasisLoyalty-LoyaltyExclusionMigration</t>
  </si>
  <si>
    <t>https://quality.aristocrat.com/dashboard?id=ati-cxs-OasisLoyalty-LoyaltyExclusionMigration</t>
  </si>
  <si>
    <t>ati-cxs-OasisLoyalty-LoyaltyLite</t>
  </si>
  <si>
    <t>https://quality.aristocrat.com/dashboard?id=ati-cxs-OasisLoyalty-LoyaltyLite</t>
  </si>
  <si>
    <t>ati-cxs-OasisLoyalty-LoyaltyLiteService</t>
  </si>
  <si>
    <t>https://quality.aristocrat.com/dashboard?id=ati-cxs-OasisLoyalty-LoyaltyLiteService</t>
  </si>
  <si>
    <t>ati-cxs-OasisLoyalty-LoyaltyPrint</t>
  </si>
  <si>
    <t>https://quality.aristocrat.com/dashboard?id=ati-cxs-OasisLoyalty-LoyaltyPrint</t>
  </si>
  <si>
    <t>ati-cxs-OasisLoyalty-LoyaltyUI</t>
  </si>
  <si>
    <t>https://quality.aristocrat.com/dashboard?id=ati-cxs-OasisLoyalty-LoyaltyUI</t>
  </si>
  <si>
    <t>ati-cxs-OasisLoyalty-MarketingLoyalty</t>
  </si>
  <si>
    <t>https://quality.aristocrat.com/dashboard?id=ati-cxs-OasisLoyalty-MarketingLoyalty</t>
  </si>
  <si>
    <t>ati-cxs-OasisLoyalty-MassImporter</t>
  </si>
  <si>
    <t>https://quality.aristocrat.com/dashboard?id=ati-cxs-OasisLoyalty-MassImporter</t>
  </si>
  <si>
    <t>ati-cxs-OasisLoyalty-NonCashableLoyaltyGateway</t>
  </si>
  <si>
    <t>https://quality.aristocrat.com/dashboard?id=ati-cxs-OasisLoyalty-NonCashableLoyaltyGateway</t>
  </si>
  <si>
    <t>ati-cxs-OasisLoyalty-OasisLoyaltyGateway</t>
  </si>
  <si>
    <t>https://quality.aristocrat.com/dashboard?id=ati-cxs-OasisLoyalty-OasisLoyaltyGateway</t>
  </si>
  <si>
    <t>ati-cxs-OasisLoyalty-OfferImport</t>
  </si>
  <si>
    <t>https://quality.aristocrat.com/dashboard?id=ati-cxs-OasisLoyalty-OfferImport</t>
  </si>
  <si>
    <t>ati-cxs-OasisLoyalty-Outbox</t>
  </si>
  <si>
    <t>https://quality.aristocrat.com/dashboard?id=ati-cxs-OasisLoyalty-Outbox</t>
  </si>
  <si>
    <t>ati-cxs-OasisLoyalty-PatronLogix</t>
  </si>
  <si>
    <t>https://quality.aristocrat.com/dashboard?id=ati-cxs-OasisLoyalty-PatronLogix</t>
  </si>
  <si>
    <t>ati-cxs-OasisLoyalty-PlayerInfoService</t>
  </si>
  <si>
    <t>https://quality.aristocrat.com/dashboard?id=ati-cxs-OasisLoyalty-PlayerInfoService</t>
  </si>
  <si>
    <t>ati-cxs-OasisLoyalty-PropertyInfoService</t>
  </si>
  <si>
    <t>https://quality.aristocrat.com/dashboard?id=ati-cxs-OasisLoyalty-PropertyInfoService</t>
  </si>
  <si>
    <t>ati-cxs-OasisLoyalty-ReportingService</t>
  </si>
  <si>
    <t>https://quality.aristocrat.com/dashboard?id=ati-cxs-OasisLoyalty-ReportingService</t>
  </si>
  <si>
    <t>ati-cxs-OasisLoyalty-RewardsService</t>
  </si>
  <si>
    <t>https://quality.aristocrat.com/dashboard?id=ati-cxs-OasisLoyalty-RewardsService</t>
  </si>
  <si>
    <t>ati-cxs-OasisLoyalty-Router</t>
  </si>
  <si>
    <t>https://quality.aristocrat.com/dashboard?id=ati-cxs-OasisLoyalty-Router</t>
  </si>
  <si>
    <t>ati-cxs-OasisLoyalty-ServiceBus</t>
  </si>
  <si>
    <t>https://quality.aristocrat.com/dashboard?id=ati-cxs-OasisLoyalty-ServiceBus</t>
  </si>
  <si>
    <t>ati-cxs-OasisLoyalty-ServiceMonitor</t>
  </si>
  <si>
    <t>https://quality.aristocrat.com/dashboard?id=ati-cxs-OasisLoyalty-ServiceMonitor</t>
  </si>
  <si>
    <t>ati-cxs-OasisLoyalty-Synchronizer</t>
  </si>
  <si>
    <t>https://quality.aristocrat.com/dashboard?id=ati-cxs-OasisLoyalty-Synchronizer</t>
  </si>
  <si>
    <t>ati-cxs-OasisLoyalty-TaskCoordinator</t>
  </si>
  <si>
    <t>https://quality.aristocrat.com/dashboard?id=ati-cxs-OasisLoyalty-TaskCoordinator</t>
  </si>
  <si>
    <t>ati-cxs-OasisLoyalty-UniMerge</t>
  </si>
  <si>
    <t>https://quality.aristocrat.com/dashboard?id=ati-cxs-OasisLoyalty-UniMerge</t>
  </si>
  <si>
    <t>ati-cxs-OasisLoyalty-UniMergeService</t>
  </si>
  <si>
    <t>https://quality.aristocrat.com/dashboard?id=ati-cxs-OasisLoyalty-UniMergeService</t>
  </si>
  <si>
    <t>ati-cxs-OasisLoyalty-WebApp</t>
  </si>
  <si>
    <t>https://quality.aristocrat.com/dashboard?id=ati-cxs-OasisLoyalty-WebApp</t>
  </si>
  <si>
    <t>Impacted Product</t>
  </si>
  <si>
    <t>Active Branch1</t>
  </si>
  <si>
    <t>Active Branch2</t>
  </si>
  <si>
    <t>Active Branch3</t>
  </si>
  <si>
    <t>"refs/heads/Release/15.0.0"</t>
  </si>
  <si>
    <t>"refs/heads/Releases/15.3"</t>
  </si>
  <si>
    <t>refs/heads/Releases/15.3</t>
  </si>
  <si>
    <t>July'26</t>
  </si>
  <si>
    <t>August'26</t>
  </si>
  <si>
    <t>Applicable for SQ Data</t>
  </si>
  <si>
    <t>Active Branch</t>
  </si>
  <si>
    <t>Critical</t>
  </si>
  <si>
    <t>High</t>
  </si>
  <si>
    <t>Medium</t>
  </si>
  <si>
    <t>Low</t>
  </si>
  <si>
    <t>Total (C+H)</t>
  </si>
  <si>
    <t>Total</t>
  </si>
  <si>
    <t>refs/heads/Dev/OL15.3</t>
  </si>
  <si>
    <t>refs/heads/Dev/15.3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</si>
</sst>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0" fontId="1" fillId="5" borderId="1" xfId="0" applyFont="1" applyFill="1" applyBorder="1"/>
    <xf numFmtId="0" fontId="1" fillId="5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4" customWidth="1"/>
    <col min="3" max="3" width="14" customWidth="1"/>
    <col min="4" max="4" width="18" customWidth="1"/>
    <col min="5" max="5" width="12" customWidth="1"/>
    <col min="6" max="6" width="34" customWidth="1"/>
    <col min="7" max="7" width="55" customWidth="1"/>
    <col min="8" max="8" width="2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E2" t="s">
        <v>9</v>
      </c>
      <c r="F2" t="s">
        <v>8</v>
      </c>
      <c r="G2" t="s">
        <v>10</v>
      </c>
    </row>
    <row r="3" spans="1:8" x14ac:dyDescent="0.3">
      <c r="A3">
        <v>2</v>
      </c>
      <c r="B3" t="s">
        <v>11</v>
      </c>
      <c r="C3" t="s">
        <v>9</v>
      </c>
      <c r="E3" t="s">
        <v>9</v>
      </c>
      <c r="F3" t="s">
        <v>11</v>
      </c>
      <c r="G3" t="s">
        <v>12</v>
      </c>
    </row>
    <row r="4" spans="1:8" x14ac:dyDescent="0.3">
      <c r="A4">
        <v>3</v>
      </c>
      <c r="B4" t="s">
        <v>13</v>
      </c>
      <c r="C4" t="s">
        <v>9</v>
      </c>
      <c r="E4" t="s">
        <v>9</v>
      </c>
      <c r="F4" t="s">
        <v>13</v>
      </c>
      <c r="G4" t="s">
        <v>14</v>
      </c>
    </row>
    <row r="5" spans="1:8" x14ac:dyDescent="0.3">
      <c r="A5">
        <v>4</v>
      </c>
      <c r="B5" t="s">
        <v>15</v>
      </c>
      <c r="C5" t="s">
        <v>9</v>
      </c>
      <c r="E5" t="s">
        <v>9</v>
      </c>
      <c r="F5" t="s">
        <v>15</v>
      </c>
      <c r="G5" t="s">
        <v>16</v>
      </c>
    </row>
    <row r="6" spans="1:8" x14ac:dyDescent="0.3">
      <c r="A6">
        <v>5</v>
      </c>
      <c r="B6" t="s">
        <v>17</v>
      </c>
      <c r="C6" t="s">
        <v>9</v>
      </c>
      <c r="E6" t="s">
        <v>9</v>
      </c>
      <c r="F6" t="s">
        <v>17</v>
      </c>
      <c r="G6" t="s">
        <v>18</v>
      </c>
    </row>
    <row r="7" spans="1:8" x14ac:dyDescent="0.3">
      <c r="A7">
        <v>6</v>
      </c>
      <c r="B7" t="s">
        <v>19</v>
      </c>
      <c r="C7" t="s">
        <v>9</v>
      </c>
      <c r="E7" t="s">
        <v>9</v>
      </c>
      <c r="F7" t="s">
        <v>19</v>
      </c>
      <c r="G7" t="s">
        <v>20</v>
      </c>
    </row>
    <row r="8" spans="1:8" x14ac:dyDescent="0.3">
      <c r="A8">
        <v>7</v>
      </c>
      <c r="B8" t="s">
        <v>21</v>
      </c>
      <c r="C8" t="s">
        <v>9</v>
      </c>
      <c r="E8" t="s">
        <v>9</v>
      </c>
      <c r="F8" t="s">
        <v>21</v>
      </c>
      <c r="G8" t="s">
        <v>22</v>
      </c>
    </row>
    <row r="9" spans="1:8" x14ac:dyDescent="0.3">
      <c r="A9">
        <v>8</v>
      </c>
      <c r="B9" t="s">
        <v>23</v>
      </c>
      <c r="C9" t="s">
        <v>9</v>
      </c>
      <c r="E9" t="s">
        <v>9</v>
      </c>
      <c r="F9" t="s">
        <v>23</v>
      </c>
      <c r="G9" t="s">
        <v>24</v>
      </c>
    </row>
    <row r="10" spans="1:8" x14ac:dyDescent="0.3">
      <c r="A10">
        <v>9</v>
      </c>
      <c r="B10" t="s">
        <v>25</v>
      </c>
      <c r="C10" t="s">
        <v>9</v>
      </c>
      <c r="E10" t="s">
        <v>9</v>
      </c>
      <c r="F10" t="s">
        <v>25</v>
      </c>
      <c r="G10" t="s">
        <v>26</v>
      </c>
    </row>
    <row r="11" spans="1:8" x14ac:dyDescent="0.3">
      <c r="A11">
        <v>10</v>
      </c>
      <c r="B11" t="s">
        <v>27</v>
      </c>
      <c r="C11" t="s">
        <v>9</v>
      </c>
      <c r="E11" t="s">
        <v>9</v>
      </c>
      <c r="F11" t="s">
        <v>27</v>
      </c>
      <c r="G11" t="s">
        <v>28</v>
      </c>
    </row>
    <row r="12" spans="1:8" x14ac:dyDescent="0.3">
      <c r="A12">
        <v>11</v>
      </c>
      <c r="B12" t="s">
        <v>29</v>
      </c>
      <c r="C12" t="s">
        <v>9</v>
      </c>
      <c r="E12" t="s">
        <v>9</v>
      </c>
      <c r="F12" t="s">
        <v>29</v>
      </c>
      <c r="G12" t="s">
        <v>30</v>
      </c>
    </row>
    <row r="13" spans="1:8" x14ac:dyDescent="0.3">
      <c r="A13">
        <v>12</v>
      </c>
      <c r="B13" t="s">
        <v>31</v>
      </c>
      <c r="C13" t="s">
        <v>9</v>
      </c>
      <c r="E13" t="s">
        <v>9</v>
      </c>
      <c r="F13" t="s">
        <v>31</v>
      </c>
      <c r="G13" t="s">
        <v>32</v>
      </c>
    </row>
    <row r="14" spans="1:8" x14ac:dyDescent="0.3">
      <c r="A14">
        <v>13</v>
      </c>
      <c r="B14" t="s">
        <v>33</v>
      </c>
      <c r="C14" t="s">
        <v>9</v>
      </c>
      <c r="E14" t="s">
        <v>9</v>
      </c>
      <c r="F14" t="s">
        <v>33</v>
      </c>
      <c r="G14" t="s">
        <v>34</v>
      </c>
    </row>
    <row r="15" spans="1:8" x14ac:dyDescent="0.3">
      <c r="A15">
        <v>14</v>
      </c>
      <c r="B15" t="s">
        <v>35</v>
      </c>
      <c r="C15" t="s">
        <v>9</v>
      </c>
      <c r="E15" t="s">
        <v>9</v>
      </c>
      <c r="F15" t="s">
        <v>35</v>
      </c>
      <c r="G15" t="s">
        <v>36</v>
      </c>
    </row>
    <row r="16" spans="1:8" x14ac:dyDescent="0.3">
      <c r="A16">
        <v>15</v>
      </c>
      <c r="B16" t="s">
        <v>37</v>
      </c>
      <c r="C16" t="s">
        <v>9</v>
      </c>
      <c r="E16" t="s">
        <v>9</v>
      </c>
      <c r="F16" t="s">
        <v>37</v>
      </c>
      <c r="G16" t="s">
        <v>38</v>
      </c>
    </row>
    <row r="17" spans="1:7" x14ac:dyDescent="0.3">
      <c r="A17">
        <v>16</v>
      </c>
      <c r="B17" t="s">
        <v>39</v>
      </c>
      <c r="C17" t="s">
        <v>9</v>
      </c>
      <c r="E17" t="s">
        <v>9</v>
      </c>
      <c r="F17" t="s">
        <v>39</v>
      </c>
      <c r="G17" t="s">
        <v>40</v>
      </c>
    </row>
    <row r="18" spans="1:7" x14ac:dyDescent="0.3">
      <c r="A18">
        <v>17</v>
      </c>
      <c r="B18" t="s">
        <v>41</v>
      </c>
      <c r="C18" t="s">
        <v>9</v>
      </c>
      <c r="E18" t="s">
        <v>9</v>
      </c>
      <c r="F18" t="s">
        <v>41</v>
      </c>
      <c r="G18" t="s">
        <v>42</v>
      </c>
    </row>
    <row r="19" spans="1:7" x14ac:dyDescent="0.3">
      <c r="A19">
        <v>18</v>
      </c>
      <c r="B19" t="s">
        <v>43</v>
      </c>
      <c r="C19" t="s">
        <v>9</v>
      </c>
      <c r="E19" t="s">
        <v>9</v>
      </c>
      <c r="F19" t="s">
        <v>43</v>
      </c>
      <c r="G19" t="s">
        <v>44</v>
      </c>
    </row>
    <row r="20" spans="1:7" x14ac:dyDescent="0.3">
      <c r="A20">
        <v>19</v>
      </c>
      <c r="B20" t="s">
        <v>45</v>
      </c>
      <c r="C20" t="s">
        <v>9</v>
      </c>
      <c r="E20" t="s">
        <v>9</v>
      </c>
      <c r="F20" t="s">
        <v>45</v>
      </c>
      <c r="G20" t="s">
        <v>46</v>
      </c>
    </row>
    <row r="21" spans="1:7" x14ac:dyDescent="0.3">
      <c r="A21">
        <v>20</v>
      </c>
      <c r="B21" t="s">
        <v>47</v>
      </c>
      <c r="C21" t="s">
        <v>9</v>
      </c>
      <c r="E21" t="s">
        <v>9</v>
      </c>
      <c r="F21" t="s">
        <v>47</v>
      </c>
      <c r="G21" t="s">
        <v>48</v>
      </c>
    </row>
    <row r="22" spans="1:7" x14ac:dyDescent="0.3">
      <c r="A22">
        <v>21</v>
      </c>
      <c r="B22" t="s">
        <v>49</v>
      </c>
      <c r="C22" t="s">
        <v>9</v>
      </c>
      <c r="E22" t="s">
        <v>9</v>
      </c>
      <c r="F22" t="s">
        <v>49</v>
      </c>
      <c r="G22" t="s">
        <v>50</v>
      </c>
    </row>
    <row r="23" spans="1:7" x14ac:dyDescent="0.3">
      <c r="A23">
        <v>22</v>
      </c>
      <c r="B23" t="s">
        <v>51</v>
      </c>
      <c r="C23" t="s">
        <v>9</v>
      </c>
      <c r="E23" t="s">
        <v>9</v>
      </c>
      <c r="F23" t="s">
        <v>51</v>
      </c>
      <c r="G23" t="s">
        <v>52</v>
      </c>
    </row>
    <row r="24" spans="1:7" x14ac:dyDescent="0.3">
      <c r="A24">
        <v>23</v>
      </c>
      <c r="B24" t="s">
        <v>53</v>
      </c>
      <c r="C24" t="s">
        <v>9</v>
      </c>
      <c r="E24" t="s">
        <v>9</v>
      </c>
      <c r="F24" t="s">
        <v>53</v>
      </c>
      <c r="G24" t="s">
        <v>54</v>
      </c>
    </row>
    <row r="25" spans="1:7" x14ac:dyDescent="0.3">
      <c r="A25">
        <v>24</v>
      </c>
      <c r="B25" t="s">
        <v>55</v>
      </c>
      <c r="C25" t="s">
        <v>9</v>
      </c>
      <c r="E25" t="s">
        <v>9</v>
      </c>
      <c r="F25" t="s">
        <v>55</v>
      </c>
      <c r="G25" t="s">
        <v>56</v>
      </c>
    </row>
    <row r="26" spans="1:7" x14ac:dyDescent="0.3">
      <c r="A26">
        <v>25</v>
      </c>
      <c r="B26" t="s">
        <v>57</v>
      </c>
      <c r="C26" t="s">
        <v>9</v>
      </c>
      <c r="E26" t="s">
        <v>9</v>
      </c>
      <c r="F26" t="s">
        <v>57</v>
      </c>
      <c r="G26" t="s">
        <v>58</v>
      </c>
    </row>
    <row r="27" spans="1:7" x14ac:dyDescent="0.3">
      <c r="A27">
        <v>26</v>
      </c>
      <c r="B27" t="s">
        <v>59</v>
      </c>
      <c r="C27" t="s">
        <v>9</v>
      </c>
      <c r="E27" t="s">
        <v>9</v>
      </c>
      <c r="F27" t="s">
        <v>59</v>
      </c>
      <c r="G27" t="s">
        <v>60</v>
      </c>
    </row>
    <row r="28" spans="1:7" x14ac:dyDescent="0.3">
      <c r="A28">
        <v>27</v>
      </c>
      <c r="B28" t="s">
        <v>61</v>
      </c>
      <c r="C28" t="s">
        <v>9</v>
      </c>
      <c r="E28" t="s">
        <v>9</v>
      </c>
      <c r="F28" t="s">
        <v>61</v>
      </c>
      <c r="G28" t="s">
        <v>62</v>
      </c>
    </row>
    <row r="29" spans="1:7" x14ac:dyDescent="0.3">
      <c r="A29">
        <v>28</v>
      </c>
      <c r="B29" t="s">
        <v>63</v>
      </c>
      <c r="C29" t="s">
        <v>9</v>
      </c>
      <c r="E29" t="s">
        <v>9</v>
      </c>
      <c r="F29" t="s">
        <v>63</v>
      </c>
      <c r="G29" t="s">
        <v>64</v>
      </c>
    </row>
    <row r="30" spans="1:7" x14ac:dyDescent="0.3">
      <c r="A30">
        <v>29</v>
      </c>
      <c r="B30" t="s">
        <v>65</v>
      </c>
      <c r="C30" t="s">
        <v>9</v>
      </c>
      <c r="E30" t="s">
        <v>9</v>
      </c>
      <c r="F30" t="s">
        <v>65</v>
      </c>
      <c r="G30" t="s">
        <v>66</v>
      </c>
    </row>
    <row r="31" spans="1:7" x14ac:dyDescent="0.3">
      <c r="A31">
        <v>30</v>
      </c>
      <c r="B31" t="s">
        <v>67</v>
      </c>
      <c r="C31" t="s">
        <v>9</v>
      </c>
      <c r="E31" t="s">
        <v>9</v>
      </c>
      <c r="F31" t="s">
        <v>67</v>
      </c>
      <c r="G31" t="s">
        <v>68</v>
      </c>
    </row>
    <row r="32" spans="1:7" x14ac:dyDescent="0.3">
      <c r="A32">
        <v>31</v>
      </c>
      <c r="B32" t="s">
        <v>69</v>
      </c>
      <c r="C32" t="s">
        <v>9</v>
      </c>
      <c r="E32" t="s">
        <v>9</v>
      </c>
      <c r="F32" t="s">
        <v>69</v>
      </c>
      <c r="G32" t="s">
        <v>70</v>
      </c>
    </row>
    <row r="33" spans="1:7" x14ac:dyDescent="0.3">
      <c r="A33">
        <v>32</v>
      </c>
      <c r="B33" t="s">
        <v>71</v>
      </c>
      <c r="C33" t="s">
        <v>9</v>
      </c>
      <c r="E33" t="s">
        <v>9</v>
      </c>
      <c r="F33" t="s">
        <v>71</v>
      </c>
      <c r="G33" t="s">
        <v>72</v>
      </c>
    </row>
    <row r="34" spans="1:7" x14ac:dyDescent="0.3">
      <c r="A34">
        <v>33</v>
      </c>
      <c r="B34" t="s">
        <v>73</v>
      </c>
      <c r="C34" t="s">
        <v>9</v>
      </c>
      <c r="E34" t="s">
        <v>9</v>
      </c>
      <c r="F34" t="s">
        <v>73</v>
      </c>
      <c r="G34" t="s">
        <v>74</v>
      </c>
    </row>
    <row r="35" spans="1:7" x14ac:dyDescent="0.3">
      <c r="A35">
        <v>34</v>
      </c>
      <c r="B35" t="s">
        <v>75</v>
      </c>
      <c r="C35" t="s">
        <v>9</v>
      </c>
      <c r="E35" t="s">
        <v>9</v>
      </c>
      <c r="F35" t="s">
        <v>75</v>
      </c>
      <c r="G35" t="s">
        <v>76</v>
      </c>
    </row>
    <row r="36" spans="1:7" x14ac:dyDescent="0.3">
      <c r="A36">
        <v>35</v>
      </c>
      <c r="B36" t="s">
        <v>77</v>
      </c>
      <c r="C36" t="s">
        <v>9</v>
      </c>
      <c r="E36" t="s">
        <v>9</v>
      </c>
      <c r="F36" t="s">
        <v>77</v>
      </c>
      <c r="G36" t="s">
        <v>78</v>
      </c>
    </row>
    <row r="37" spans="1:7" x14ac:dyDescent="0.3">
      <c r="A37">
        <v>36</v>
      </c>
      <c r="B37" t="s">
        <v>79</v>
      </c>
      <c r="C37" t="s">
        <v>9</v>
      </c>
      <c r="E37" t="s">
        <v>9</v>
      </c>
      <c r="F37" t="s">
        <v>79</v>
      </c>
      <c r="G37" t="s">
        <v>80</v>
      </c>
    </row>
    <row r="38" spans="1:7" x14ac:dyDescent="0.3">
      <c r="A38">
        <v>37</v>
      </c>
      <c r="B38" t="s">
        <v>81</v>
      </c>
      <c r="C38" t="s">
        <v>9</v>
      </c>
      <c r="E38" t="s">
        <v>9</v>
      </c>
      <c r="F38" t="s">
        <v>81</v>
      </c>
      <c r="G38" t="s">
        <v>82</v>
      </c>
    </row>
    <row r="39" spans="1:7" x14ac:dyDescent="0.3">
      <c r="A39">
        <v>38</v>
      </c>
      <c r="B39" t="s">
        <v>83</v>
      </c>
      <c r="C39" t="s">
        <v>9</v>
      </c>
      <c r="E39" t="s">
        <v>9</v>
      </c>
      <c r="F39" t="s">
        <v>83</v>
      </c>
      <c r="G39" t="s">
        <v>84</v>
      </c>
    </row>
    <row r="40" spans="1:7" x14ac:dyDescent="0.3">
      <c r="A40">
        <v>39</v>
      </c>
      <c r="B40" t="s">
        <v>85</v>
      </c>
      <c r="C40" t="s">
        <v>9</v>
      </c>
      <c r="E40" t="s">
        <v>9</v>
      </c>
      <c r="F40" t="s">
        <v>85</v>
      </c>
      <c r="G40" t="s">
        <v>86</v>
      </c>
    </row>
    <row r="41" spans="1:7" x14ac:dyDescent="0.3">
      <c r="A41">
        <v>40</v>
      </c>
      <c r="B41" t="s">
        <v>87</v>
      </c>
      <c r="C41" t="s">
        <v>9</v>
      </c>
      <c r="E41" t="s">
        <v>9</v>
      </c>
      <c r="F41" t="s">
        <v>87</v>
      </c>
      <c r="G41" t="s">
        <v>88</v>
      </c>
    </row>
    <row r="42" spans="1:7" x14ac:dyDescent="0.3">
      <c r="A42">
        <v>41</v>
      </c>
      <c r="B42" t="s">
        <v>89</v>
      </c>
      <c r="C42" t="s">
        <v>9</v>
      </c>
      <c r="E42" t="s">
        <v>9</v>
      </c>
      <c r="F42" t="s">
        <v>89</v>
      </c>
      <c r="G42" t="s">
        <v>90</v>
      </c>
    </row>
    <row r="43" spans="1:7" x14ac:dyDescent="0.3">
      <c r="A43">
        <v>42</v>
      </c>
      <c r="B43" t="s">
        <v>91</v>
      </c>
      <c r="C43" t="s">
        <v>9</v>
      </c>
      <c r="E43" t="s">
        <v>9</v>
      </c>
      <c r="F43" t="s">
        <v>91</v>
      </c>
      <c r="G43" t="s">
        <v>92</v>
      </c>
    </row>
    <row r="44" spans="1:7" x14ac:dyDescent="0.3">
      <c r="A44">
        <v>43</v>
      </c>
      <c r="B44" t="s">
        <v>93</v>
      </c>
      <c r="C44" t="s">
        <v>9</v>
      </c>
      <c r="E44" t="s">
        <v>9</v>
      </c>
      <c r="F44" t="s">
        <v>93</v>
      </c>
      <c r="G44" t="s">
        <v>94</v>
      </c>
    </row>
    <row r="45" spans="1:7" x14ac:dyDescent="0.3">
      <c r="A45">
        <v>44</v>
      </c>
      <c r="B45" t="s">
        <v>95</v>
      </c>
      <c r="C45" t="s">
        <v>9</v>
      </c>
      <c r="E45" t="s">
        <v>9</v>
      </c>
      <c r="F45" t="s">
        <v>95</v>
      </c>
      <c r="G45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s="2"/>
      <c r="E2" t="s">
        <v>101</v>
      </c>
    </row>
    <row r="3" spans="1:8" x14ac:dyDescent="0.3">
      <c r="A3">
        <v>2</v>
      </c>
      <c r="B3" t="s">
        <v>11</v>
      </c>
      <c r="C3" t="s">
        <v>9</v>
      </c>
      <c r="D3" s="2"/>
      <c r="E3" t="s">
        <v>102</v>
      </c>
    </row>
    <row r="4" spans="1:8" x14ac:dyDescent="0.3">
      <c r="A4">
        <v>3</v>
      </c>
      <c r="B4" t="s">
        <v>13</v>
      </c>
      <c r="C4" t="s">
        <v>9</v>
      </c>
      <c r="D4" s="2"/>
      <c r="E4" t="s">
        <v>102</v>
      </c>
    </row>
    <row r="5" spans="1:8" x14ac:dyDescent="0.3">
      <c r="A5">
        <v>4</v>
      </c>
      <c r="B5" t="s">
        <v>15</v>
      </c>
      <c r="C5" t="s">
        <v>9</v>
      </c>
      <c r="D5" s="2"/>
      <c r="E5" t="s">
        <v>102</v>
      </c>
    </row>
    <row r="6" spans="1:8" x14ac:dyDescent="0.3">
      <c r="A6">
        <v>5</v>
      </c>
      <c r="B6" t="s">
        <v>17</v>
      </c>
      <c r="C6" t="s">
        <v>9</v>
      </c>
      <c r="D6" s="2"/>
      <c r="E6" t="s">
        <v>102</v>
      </c>
    </row>
    <row r="7" spans="1:8" x14ac:dyDescent="0.3">
      <c r="A7">
        <v>6</v>
      </c>
      <c r="B7" t="s">
        <v>19</v>
      </c>
      <c r="C7" t="s">
        <v>9</v>
      </c>
      <c r="D7" s="2"/>
      <c r="E7" t="s">
        <v>102</v>
      </c>
    </row>
    <row r="8" spans="1:8" x14ac:dyDescent="0.3">
      <c r="A8">
        <v>7</v>
      </c>
      <c r="B8" t="s">
        <v>21</v>
      </c>
      <c r="C8" t="s">
        <v>9</v>
      </c>
      <c r="D8" s="2"/>
      <c r="E8" t="s">
        <v>102</v>
      </c>
    </row>
    <row r="9" spans="1:8" x14ac:dyDescent="0.3">
      <c r="A9">
        <v>8</v>
      </c>
      <c r="B9" t="s">
        <v>23</v>
      </c>
      <c r="C9" t="s">
        <v>9</v>
      </c>
      <c r="D9" s="2"/>
      <c r="E9" t="s">
        <v>102</v>
      </c>
    </row>
    <row r="10" spans="1:8" x14ac:dyDescent="0.3">
      <c r="A10">
        <v>9</v>
      </c>
      <c r="B10" t="s">
        <v>25</v>
      </c>
      <c r="C10" t="s">
        <v>9</v>
      </c>
      <c r="D10" s="2"/>
      <c r="E10" t="s">
        <v>102</v>
      </c>
    </row>
    <row r="11" spans="1:8" x14ac:dyDescent="0.3">
      <c r="A11">
        <v>10</v>
      </c>
      <c r="B11" t="s">
        <v>27</v>
      </c>
      <c r="C11" t="s">
        <v>9</v>
      </c>
      <c r="D11" s="2"/>
      <c r="E11" t="s">
        <v>102</v>
      </c>
    </row>
    <row r="12" spans="1:8" x14ac:dyDescent="0.3">
      <c r="A12">
        <v>11</v>
      </c>
      <c r="B12" t="s">
        <v>29</v>
      </c>
      <c r="C12" t="s">
        <v>9</v>
      </c>
      <c r="D12" s="2"/>
      <c r="E12" t="s">
        <v>102</v>
      </c>
    </row>
    <row r="13" spans="1:8" x14ac:dyDescent="0.3">
      <c r="A13">
        <v>12</v>
      </c>
      <c r="B13" t="s">
        <v>31</v>
      </c>
      <c r="C13" t="s">
        <v>9</v>
      </c>
      <c r="D13" s="2"/>
      <c r="E13" t="s">
        <v>102</v>
      </c>
    </row>
    <row r="14" spans="1:8" x14ac:dyDescent="0.3">
      <c r="A14">
        <v>13</v>
      </c>
      <c r="B14" t="s">
        <v>33</v>
      </c>
      <c r="C14" t="s">
        <v>9</v>
      </c>
      <c r="D14" s="2"/>
      <c r="E14" t="s">
        <v>102</v>
      </c>
    </row>
    <row r="15" spans="1:8" x14ac:dyDescent="0.3">
      <c r="A15">
        <v>14</v>
      </c>
      <c r="B15" t="s">
        <v>35</v>
      </c>
      <c r="C15" t="s">
        <v>9</v>
      </c>
      <c r="D15" s="2"/>
      <c r="E15" t="s">
        <v>102</v>
      </c>
    </row>
    <row r="16" spans="1:8" x14ac:dyDescent="0.3">
      <c r="A16">
        <v>15</v>
      </c>
      <c r="B16" t="s">
        <v>37</v>
      </c>
      <c r="C16" t="s">
        <v>9</v>
      </c>
      <c r="D16" s="2"/>
      <c r="E16" t="s">
        <v>102</v>
      </c>
    </row>
    <row r="17" spans="1:5" x14ac:dyDescent="0.3">
      <c r="A17">
        <v>16</v>
      </c>
      <c r="B17" t="s">
        <v>39</v>
      </c>
      <c r="C17" t="s">
        <v>9</v>
      </c>
      <c r="D17" s="2"/>
      <c r="E17" t="s">
        <v>102</v>
      </c>
    </row>
    <row r="18" spans="1:5" x14ac:dyDescent="0.3">
      <c r="A18">
        <v>17</v>
      </c>
      <c r="B18" t="s">
        <v>41</v>
      </c>
      <c r="C18" t="s">
        <v>9</v>
      </c>
      <c r="D18" s="2"/>
      <c r="E18" t="s">
        <v>102</v>
      </c>
    </row>
    <row r="19" spans="1:5" x14ac:dyDescent="0.3">
      <c r="A19">
        <v>18</v>
      </c>
      <c r="B19" t="s">
        <v>43</v>
      </c>
      <c r="C19" t="s">
        <v>9</v>
      </c>
      <c r="D19" s="2"/>
      <c r="E19" t="s">
        <v>102</v>
      </c>
    </row>
    <row r="20" spans="1:5" x14ac:dyDescent="0.3">
      <c r="A20">
        <v>19</v>
      </c>
      <c r="B20" t="s">
        <v>45</v>
      </c>
      <c r="C20" t="s">
        <v>9</v>
      </c>
      <c r="D20" s="2"/>
      <c r="E20" t="s">
        <v>102</v>
      </c>
    </row>
    <row r="21" spans="1:5" x14ac:dyDescent="0.3">
      <c r="A21">
        <v>20</v>
      </c>
      <c r="B21" t="s">
        <v>47</v>
      </c>
      <c r="C21" t="s">
        <v>9</v>
      </c>
      <c r="D21" s="2"/>
      <c r="E21" t="s">
        <v>102</v>
      </c>
    </row>
    <row r="22" spans="1:5" x14ac:dyDescent="0.3">
      <c r="A22">
        <v>21</v>
      </c>
      <c r="B22" t="s">
        <v>49</v>
      </c>
      <c r="C22" t="s">
        <v>9</v>
      </c>
      <c r="D22" s="2"/>
      <c r="E22" t="s">
        <v>102</v>
      </c>
    </row>
    <row r="23" spans="1:5" x14ac:dyDescent="0.3">
      <c r="A23">
        <v>22</v>
      </c>
      <c r="B23" t="s">
        <v>51</v>
      </c>
      <c r="C23" t="s">
        <v>9</v>
      </c>
      <c r="D23" s="2"/>
      <c r="E23" t="s">
        <v>102</v>
      </c>
    </row>
    <row r="24" spans="1:5" x14ac:dyDescent="0.3">
      <c r="A24">
        <v>23</v>
      </c>
      <c r="B24" t="s">
        <v>53</v>
      </c>
      <c r="C24" t="s">
        <v>9</v>
      </c>
      <c r="D24" s="2"/>
      <c r="E24" t="s">
        <v>102</v>
      </c>
    </row>
    <row r="25" spans="1:5" x14ac:dyDescent="0.3">
      <c r="A25">
        <v>24</v>
      </c>
      <c r="B25" t="s">
        <v>55</v>
      </c>
      <c r="C25" t="s">
        <v>9</v>
      </c>
      <c r="D25" s="2"/>
      <c r="E25" t="s">
        <v>102</v>
      </c>
    </row>
    <row r="26" spans="1:5" x14ac:dyDescent="0.3">
      <c r="A26">
        <v>25</v>
      </c>
      <c r="B26" t="s">
        <v>57</v>
      </c>
      <c r="C26" t="s">
        <v>9</v>
      </c>
      <c r="D26" s="2"/>
      <c r="E26" t="s">
        <v>103</v>
      </c>
    </row>
    <row r="27" spans="1:5" x14ac:dyDescent="0.3">
      <c r="A27">
        <v>26</v>
      </c>
      <c r="B27" t="s">
        <v>59</v>
      </c>
      <c r="C27" t="s">
        <v>9</v>
      </c>
      <c r="D27" s="2"/>
      <c r="E27" t="s">
        <v>102</v>
      </c>
    </row>
    <row r="28" spans="1:5" x14ac:dyDescent="0.3">
      <c r="A28">
        <v>27</v>
      </c>
      <c r="B28" t="s">
        <v>61</v>
      </c>
      <c r="C28" t="s">
        <v>9</v>
      </c>
      <c r="D28" s="2"/>
      <c r="E28" t="s">
        <v>102</v>
      </c>
    </row>
    <row r="29" spans="1:5" x14ac:dyDescent="0.3">
      <c r="A29">
        <v>28</v>
      </c>
      <c r="B29" t="s">
        <v>63</v>
      </c>
      <c r="C29" t="s">
        <v>9</v>
      </c>
      <c r="D29" s="2"/>
      <c r="E29" t="s">
        <v>102</v>
      </c>
    </row>
    <row r="30" spans="1:5" x14ac:dyDescent="0.3">
      <c r="A30">
        <v>29</v>
      </c>
      <c r="B30" t="s">
        <v>65</v>
      </c>
      <c r="C30" t="s">
        <v>9</v>
      </c>
      <c r="D30" s="2"/>
      <c r="E30" t="s">
        <v>102</v>
      </c>
    </row>
    <row r="31" spans="1:5" x14ac:dyDescent="0.3">
      <c r="A31">
        <v>30</v>
      </c>
      <c r="B31" t="s">
        <v>67</v>
      </c>
      <c r="C31" t="s">
        <v>9</v>
      </c>
      <c r="D31" s="2"/>
      <c r="E31" t="s">
        <v>102</v>
      </c>
    </row>
    <row r="32" spans="1:5" x14ac:dyDescent="0.3">
      <c r="A32">
        <v>31</v>
      </c>
      <c r="B32" t="s">
        <v>69</v>
      </c>
      <c r="C32" t="s">
        <v>9</v>
      </c>
      <c r="D32" s="2"/>
      <c r="E32" t="s">
        <v>102</v>
      </c>
    </row>
    <row r="33" spans="1:5" x14ac:dyDescent="0.3">
      <c r="A33">
        <v>32</v>
      </c>
      <c r="B33" t="s">
        <v>71</v>
      </c>
      <c r="C33" t="s">
        <v>9</v>
      </c>
      <c r="D33" s="2"/>
      <c r="E33" t="s">
        <v>102</v>
      </c>
    </row>
    <row r="34" spans="1:5" x14ac:dyDescent="0.3">
      <c r="A34">
        <v>33</v>
      </c>
      <c r="B34" t="s">
        <v>73</v>
      </c>
      <c r="C34" t="s">
        <v>9</v>
      </c>
      <c r="D34" s="2"/>
      <c r="E34" t="s">
        <v>102</v>
      </c>
    </row>
    <row r="35" spans="1:5" x14ac:dyDescent="0.3">
      <c r="A35">
        <v>34</v>
      </c>
      <c r="B35" t="s">
        <v>75</v>
      </c>
      <c r="C35" t="s">
        <v>9</v>
      </c>
      <c r="D35" s="2"/>
      <c r="E35" t="s">
        <v>102</v>
      </c>
    </row>
    <row r="36" spans="1:5" x14ac:dyDescent="0.3">
      <c r="A36">
        <v>35</v>
      </c>
      <c r="B36" t="s">
        <v>77</v>
      </c>
      <c r="C36" t="s">
        <v>9</v>
      </c>
      <c r="D36" s="2"/>
      <c r="E36" t="s">
        <v>102</v>
      </c>
    </row>
    <row r="37" spans="1:5" x14ac:dyDescent="0.3">
      <c r="A37">
        <v>36</v>
      </c>
      <c r="B37" t="s">
        <v>79</v>
      </c>
      <c r="C37" t="s">
        <v>9</v>
      </c>
      <c r="D37" s="2"/>
      <c r="E37" t="s">
        <v>102</v>
      </c>
    </row>
    <row r="38" spans="1:5" x14ac:dyDescent="0.3">
      <c r="A38">
        <v>37</v>
      </c>
      <c r="B38" t="s">
        <v>81</v>
      </c>
      <c r="C38" t="s">
        <v>9</v>
      </c>
      <c r="D38" s="2"/>
      <c r="E38" t="s">
        <v>102</v>
      </c>
    </row>
    <row r="39" spans="1:5" x14ac:dyDescent="0.3">
      <c r="A39">
        <v>38</v>
      </c>
      <c r="B39" t="s">
        <v>83</v>
      </c>
      <c r="C39" t="s">
        <v>9</v>
      </c>
      <c r="D39" s="2"/>
      <c r="E39" t="s">
        <v>102</v>
      </c>
    </row>
    <row r="40" spans="1:5" x14ac:dyDescent="0.3">
      <c r="A40">
        <v>39</v>
      </c>
      <c r="B40" t="s">
        <v>85</v>
      </c>
      <c r="C40" t="s">
        <v>9</v>
      </c>
      <c r="D40" s="2"/>
      <c r="E40" t="s">
        <v>102</v>
      </c>
    </row>
    <row r="41" spans="1:5" x14ac:dyDescent="0.3">
      <c r="A41">
        <v>40</v>
      </c>
      <c r="B41" t="s">
        <v>87</v>
      </c>
      <c r="C41" t="s">
        <v>9</v>
      </c>
      <c r="D41" s="2"/>
      <c r="E41" t="s">
        <v>102</v>
      </c>
    </row>
    <row r="42" spans="1:5" x14ac:dyDescent="0.3">
      <c r="A42">
        <v>41</v>
      </c>
      <c r="B42" t="s">
        <v>89</v>
      </c>
      <c r="C42" t="s">
        <v>9</v>
      </c>
      <c r="D42" s="2"/>
      <c r="E42" t="s">
        <v>102</v>
      </c>
    </row>
    <row r="43" spans="1:5" x14ac:dyDescent="0.3">
      <c r="A43">
        <v>42</v>
      </c>
      <c r="B43" t="s">
        <v>91</v>
      </c>
      <c r="C43" t="s">
        <v>9</v>
      </c>
      <c r="D43" s="2"/>
      <c r="E43" t="s">
        <v>102</v>
      </c>
    </row>
    <row r="44" spans="1:5" x14ac:dyDescent="0.3">
      <c r="A44">
        <v>43</v>
      </c>
      <c r="B44" t="s">
        <v>93</v>
      </c>
      <c r="C44" t="s">
        <v>9</v>
      </c>
      <c r="D44" s="2"/>
      <c r="E44" t="s">
        <v>102</v>
      </c>
    </row>
    <row r="45" spans="1:5" x14ac:dyDescent="0.3">
      <c r="A45">
        <v>44</v>
      </c>
      <c r="B45" t="s">
        <v>95</v>
      </c>
      <c r="C45" t="s">
        <v>9</v>
      </c>
      <c r="D45" s="2"/>
      <c r="E45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"/>
  <sheetViews>
    <sheetView tabSelected="1" topLeftCell="B1" workbookViewId="0">
      <pane ySplit="2" topLeftCell="A37" activePane="bottomLeft" state="frozen"/>
      <selection pane="bottomLeft" activeCell="I50" sqref="I50"/>
    </sheetView>
  </sheetViews>
  <sheetFormatPr defaultRowHeight="14.4" x14ac:dyDescent="0.3"/>
  <cols>
    <col min="1" max="1" width="6" customWidth="1"/>
    <col min="2" max="2" width="40.21875" customWidth="1"/>
    <col min="3" max="3" width="15" customWidth="1"/>
    <col min="4" max="4" width="16" customWidth="1"/>
    <col min="5" max="5" width="20" customWidth="1"/>
    <col min="6" max="6" width="9" customWidth="1"/>
    <col min="7" max="7" width="7" customWidth="1"/>
    <col min="8" max="8" width="8" customWidth="1"/>
    <col min="9" max="9" width="7" customWidth="1"/>
    <col min="10" max="10" width="11" customWidth="1"/>
    <col min="11" max="11" width="29.109375" customWidth="1"/>
    <col min="12" max="12" width="9" customWidth="1"/>
    <col min="13" max="13" width="7" customWidth="1"/>
    <col min="14" max="14" width="8" customWidth="1"/>
    <col min="15" max="15" width="7" customWidth="1"/>
    <col min="16" max="16" width="11" customWidth="1"/>
  </cols>
  <sheetData>
    <row r="1" spans="1:16" x14ac:dyDescent="0.3">
      <c r="E1" s="7" t="s">
        <v>104</v>
      </c>
      <c r="F1" s="8"/>
      <c r="G1" s="8"/>
      <c r="H1" s="8"/>
      <c r="I1" s="8"/>
      <c r="J1" s="8"/>
      <c r="K1" s="7" t="s">
        <v>105</v>
      </c>
      <c r="L1" s="8"/>
      <c r="M1" s="8"/>
      <c r="N1" s="8"/>
      <c r="O1" s="8"/>
      <c r="P1" s="8"/>
    </row>
    <row r="2" spans="1:16" ht="28.8" x14ac:dyDescent="0.3">
      <c r="A2" s="1" t="s">
        <v>0</v>
      </c>
      <c r="B2" s="1" t="s">
        <v>1</v>
      </c>
      <c r="C2" s="1" t="s">
        <v>106</v>
      </c>
      <c r="D2" s="1" t="s">
        <v>97</v>
      </c>
      <c r="E2" s="1" t="s">
        <v>107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107</v>
      </c>
      <c r="L2" s="1" t="s">
        <v>108</v>
      </c>
      <c r="M2" s="1" t="s">
        <v>109</v>
      </c>
      <c r="N2" s="1" t="s">
        <v>110</v>
      </c>
      <c r="O2" s="1" t="s">
        <v>111</v>
      </c>
      <c r="P2" s="1" t="s">
        <v>112</v>
      </c>
    </row>
    <row r="3" spans="1:16" ht="24" customHeight="1" x14ac:dyDescent="0.3">
      <c r="A3" s="3">
        <v>1</v>
      </c>
      <c r="B3" s="3" t="s">
        <v>8</v>
      </c>
      <c r="C3" s="3" t="s">
        <v>9</v>
      </c>
      <c r="D3" s="3"/>
      <c r="E3" s="3"/>
      <c r="F3" s="3"/>
      <c r="G3" s="3"/>
      <c r="H3" s="3"/>
      <c r="I3" s="3"/>
      <c r="J3" s="3">
        <f t="shared" ref="J3:J46" si="0">SUM(F3+G3)</f>
        <v>0</v>
      </c>
      <c r="K3" s="3" t="s">
        <v>101</v>
      </c>
      <c r="L3" s="4">
        <v>6</v>
      </c>
      <c r="M3" s="3">
        <v>0</v>
      </c>
      <c r="N3" s="3">
        <v>1</v>
      </c>
      <c r="O3" s="3">
        <v>0</v>
      </c>
      <c r="P3" s="3">
        <f t="shared" ref="P3:P46" si="1">SUM(L3+M3)</f>
        <v>6</v>
      </c>
    </row>
    <row r="4" spans="1:16" ht="24" customHeight="1" x14ac:dyDescent="0.3">
      <c r="A4" s="3">
        <v>2</v>
      </c>
      <c r="B4" s="3" t="s">
        <v>11</v>
      </c>
      <c r="C4" s="3" t="s">
        <v>9</v>
      </c>
      <c r="D4" s="3"/>
      <c r="E4" s="9" t="s">
        <v>114</v>
      </c>
      <c r="F4" s="9">
        <v>0</v>
      </c>
      <c r="G4" s="9">
        <v>0</v>
      </c>
      <c r="H4" s="9">
        <v>0</v>
      </c>
      <c r="I4" s="9">
        <v>0</v>
      </c>
      <c r="J4" s="3">
        <f t="shared" si="0"/>
        <v>0</v>
      </c>
      <c r="K4" s="3" t="s">
        <v>102</v>
      </c>
      <c r="L4" s="3">
        <v>0</v>
      </c>
      <c r="M4" s="3">
        <v>0</v>
      </c>
      <c r="N4" s="3">
        <v>0</v>
      </c>
      <c r="O4" s="3">
        <v>0</v>
      </c>
      <c r="P4" s="3">
        <f t="shared" si="1"/>
        <v>0</v>
      </c>
    </row>
    <row r="5" spans="1:16" ht="24" customHeight="1" x14ac:dyDescent="0.3">
      <c r="A5" s="3">
        <v>3</v>
      </c>
      <c r="B5" s="3" t="s">
        <v>13</v>
      </c>
      <c r="C5" s="3" t="s">
        <v>9</v>
      </c>
      <c r="D5" s="3"/>
      <c r="E5" s="9" t="s">
        <v>114</v>
      </c>
      <c r="F5" s="9">
        <v>0</v>
      </c>
      <c r="G5" s="9">
        <v>0</v>
      </c>
      <c r="H5" s="9">
        <v>0</v>
      </c>
      <c r="I5" s="9">
        <v>0</v>
      </c>
      <c r="J5" s="3">
        <f t="shared" si="0"/>
        <v>0</v>
      </c>
      <c r="K5" s="3" t="s">
        <v>102</v>
      </c>
      <c r="L5" s="3">
        <v>0</v>
      </c>
      <c r="M5" s="3">
        <v>0</v>
      </c>
      <c r="N5" s="3">
        <v>0</v>
      </c>
      <c r="O5" s="3">
        <v>0</v>
      </c>
      <c r="P5" s="3">
        <f t="shared" si="1"/>
        <v>0</v>
      </c>
    </row>
    <row r="6" spans="1:16" ht="24" customHeight="1" x14ac:dyDescent="0.3">
      <c r="A6" s="3">
        <v>4</v>
      </c>
      <c r="B6" s="3" t="s">
        <v>15</v>
      </c>
      <c r="C6" s="3" t="s">
        <v>9</v>
      </c>
      <c r="D6" s="3"/>
      <c r="E6" s="9" t="s">
        <v>114</v>
      </c>
      <c r="F6" s="9">
        <v>0</v>
      </c>
      <c r="G6" s="9">
        <v>0</v>
      </c>
      <c r="H6" s="9">
        <v>0</v>
      </c>
      <c r="I6" s="9">
        <v>0</v>
      </c>
      <c r="J6" s="3">
        <f t="shared" si="0"/>
        <v>0</v>
      </c>
      <c r="K6" s="3" t="s">
        <v>102</v>
      </c>
      <c r="L6" s="3">
        <v>0</v>
      </c>
      <c r="M6" s="3">
        <v>0</v>
      </c>
      <c r="N6" s="3">
        <v>0</v>
      </c>
      <c r="O6" s="3">
        <v>0</v>
      </c>
      <c r="P6" s="3">
        <f t="shared" si="1"/>
        <v>0</v>
      </c>
    </row>
    <row r="7" spans="1:16" ht="24" customHeight="1" x14ac:dyDescent="0.3">
      <c r="A7" s="3">
        <v>5</v>
      </c>
      <c r="B7" s="3" t="s">
        <v>17</v>
      </c>
      <c r="C7" s="3" t="s">
        <v>9</v>
      </c>
      <c r="D7" s="3"/>
      <c r="E7" s="9" t="s">
        <v>114</v>
      </c>
      <c r="F7" s="9">
        <v>0</v>
      </c>
      <c r="G7" s="9">
        <v>0</v>
      </c>
      <c r="H7" s="9">
        <v>0</v>
      </c>
      <c r="I7" s="9">
        <v>0</v>
      </c>
      <c r="J7" s="3">
        <f t="shared" si="0"/>
        <v>0</v>
      </c>
      <c r="K7" s="3" t="s">
        <v>102</v>
      </c>
      <c r="L7" s="3">
        <v>0</v>
      </c>
      <c r="M7" s="3">
        <v>0</v>
      </c>
      <c r="N7" s="3">
        <v>0</v>
      </c>
      <c r="O7" s="3">
        <v>0</v>
      </c>
      <c r="P7" s="3">
        <f t="shared" si="1"/>
        <v>0</v>
      </c>
    </row>
    <row r="8" spans="1:16" ht="24" customHeight="1" x14ac:dyDescent="0.3">
      <c r="A8" s="3">
        <v>6</v>
      </c>
      <c r="B8" s="3" t="s">
        <v>19</v>
      </c>
      <c r="C8" s="3" t="s">
        <v>9</v>
      </c>
      <c r="D8" s="3"/>
      <c r="E8" s="9" t="s">
        <v>114</v>
      </c>
      <c r="F8" s="9">
        <v>0</v>
      </c>
      <c r="G8" s="9">
        <v>0</v>
      </c>
      <c r="H8" s="9">
        <v>0</v>
      </c>
      <c r="I8" s="9">
        <v>0</v>
      </c>
      <c r="J8" s="3">
        <f t="shared" si="0"/>
        <v>0</v>
      </c>
      <c r="K8" s="3" t="s">
        <v>102</v>
      </c>
      <c r="L8" s="3">
        <v>0</v>
      </c>
      <c r="M8" s="3">
        <v>0</v>
      </c>
      <c r="N8" s="3">
        <v>0</v>
      </c>
      <c r="O8" s="3">
        <v>0</v>
      </c>
      <c r="P8" s="3">
        <f t="shared" si="1"/>
        <v>0</v>
      </c>
    </row>
    <row r="9" spans="1:16" ht="24" customHeight="1" x14ac:dyDescent="0.3">
      <c r="A9" s="3">
        <v>7</v>
      </c>
      <c r="B9" s="3" t="s">
        <v>21</v>
      </c>
      <c r="C9" s="3" t="s">
        <v>9</v>
      </c>
      <c r="D9" s="3"/>
      <c r="E9" s="9" t="s">
        <v>114</v>
      </c>
      <c r="F9" s="9">
        <v>0</v>
      </c>
      <c r="G9" s="9">
        <v>0</v>
      </c>
      <c r="H9" s="9">
        <v>0</v>
      </c>
      <c r="I9" s="9">
        <v>0</v>
      </c>
      <c r="J9" s="3">
        <f t="shared" si="0"/>
        <v>0</v>
      </c>
      <c r="K9" s="3" t="s">
        <v>102</v>
      </c>
      <c r="L9" s="3">
        <v>0</v>
      </c>
      <c r="M9" s="3">
        <v>0</v>
      </c>
      <c r="N9" s="3">
        <v>0</v>
      </c>
      <c r="O9" s="3">
        <v>0</v>
      </c>
      <c r="P9" s="3">
        <f t="shared" si="1"/>
        <v>0</v>
      </c>
    </row>
    <row r="10" spans="1:16" ht="24" customHeight="1" x14ac:dyDescent="0.3">
      <c r="A10" s="3">
        <v>8</v>
      </c>
      <c r="B10" s="3" t="s">
        <v>23</v>
      </c>
      <c r="C10" s="3" t="s">
        <v>9</v>
      </c>
      <c r="D10" s="3"/>
      <c r="E10" s="9" t="s">
        <v>114</v>
      </c>
      <c r="F10" s="9">
        <v>0</v>
      </c>
      <c r="G10" s="9">
        <v>0</v>
      </c>
      <c r="H10" s="9">
        <v>0</v>
      </c>
      <c r="I10" s="9">
        <v>0</v>
      </c>
      <c r="J10" s="3">
        <f t="shared" si="0"/>
        <v>0</v>
      </c>
      <c r="K10" s="3" t="s">
        <v>102</v>
      </c>
      <c r="L10" s="3">
        <v>0</v>
      </c>
      <c r="M10" s="3">
        <v>0</v>
      </c>
      <c r="N10" s="3">
        <v>0</v>
      </c>
      <c r="O10" s="3">
        <v>0</v>
      </c>
      <c r="P10" s="3">
        <f t="shared" si="1"/>
        <v>0</v>
      </c>
    </row>
    <row r="11" spans="1:16" ht="24" customHeight="1" x14ac:dyDescent="0.3">
      <c r="A11" s="3">
        <v>9</v>
      </c>
      <c r="B11" s="3" t="s">
        <v>25</v>
      </c>
      <c r="C11" s="3" t="s">
        <v>9</v>
      </c>
      <c r="D11" s="3"/>
      <c r="E11" s="9" t="s">
        <v>114</v>
      </c>
      <c r="F11" s="9">
        <v>0</v>
      </c>
      <c r="G11" s="9">
        <v>0</v>
      </c>
      <c r="H11" s="9">
        <v>0</v>
      </c>
      <c r="I11" s="9">
        <v>0</v>
      </c>
      <c r="J11" s="3">
        <f t="shared" si="0"/>
        <v>0</v>
      </c>
      <c r="K11" s="3" t="s">
        <v>102</v>
      </c>
      <c r="L11" s="3">
        <v>0</v>
      </c>
      <c r="M11" s="3">
        <v>0</v>
      </c>
      <c r="N11" s="3">
        <v>0</v>
      </c>
      <c r="O11" s="3">
        <v>0</v>
      </c>
      <c r="P11" s="3">
        <f t="shared" si="1"/>
        <v>0</v>
      </c>
    </row>
    <row r="12" spans="1:16" ht="24" customHeight="1" x14ac:dyDescent="0.3">
      <c r="A12" s="3">
        <v>10</v>
      </c>
      <c r="B12" s="3" t="s">
        <v>27</v>
      </c>
      <c r="C12" s="3" t="s">
        <v>9</v>
      </c>
      <c r="D12" s="3"/>
      <c r="E12" s="9" t="s">
        <v>114</v>
      </c>
      <c r="F12" s="9">
        <v>0</v>
      </c>
      <c r="G12" s="9">
        <v>0</v>
      </c>
      <c r="H12" s="9">
        <v>0</v>
      </c>
      <c r="I12" s="9">
        <v>0</v>
      </c>
      <c r="J12" s="3">
        <f t="shared" si="0"/>
        <v>0</v>
      </c>
      <c r="K12" s="3" t="s">
        <v>102</v>
      </c>
      <c r="L12" s="3">
        <v>0</v>
      </c>
      <c r="M12" s="3">
        <v>0</v>
      </c>
      <c r="N12" s="3">
        <v>0</v>
      </c>
      <c r="O12" s="3">
        <v>0</v>
      </c>
      <c r="P12" s="3">
        <f t="shared" si="1"/>
        <v>0</v>
      </c>
    </row>
    <row r="13" spans="1:16" ht="24" customHeight="1" x14ac:dyDescent="0.3">
      <c r="A13" s="3">
        <v>11</v>
      </c>
      <c r="B13" s="3" t="s">
        <v>29</v>
      </c>
      <c r="C13" s="3" t="s">
        <v>9</v>
      </c>
      <c r="D13" s="3"/>
      <c r="E13" s="9" t="s">
        <v>114</v>
      </c>
      <c r="F13" s="9">
        <v>0</v>
      </c>
      <c r="G13" s="9">
        <v>0</v>
      </c>
      <c r="H13" s="9">
        <v>0</v>
      </c>
      <c r="I13" s="9">
        <v>0</v>
      </c>
      <c r="J13" s="3">
        <f t="shared" si="0"/>
        <v>0</v>
      </c>
      <c r="K13" s="3" t="s">
        <v>102</v>
      </c>
      <c r="L13" s="3">
        <v>0</v>
      </c>
      <c r="M13" s="3">
        <v>0</v>
      </c>
      <c r="N13" s="3">
        <v>0</v>
      </c>
      <c r="O13" s="3">
        <v>0</v>
      </c>
      <c r="P13" s="3">
        <f t="shared" si="1"/>
        <v>0</v>
      </c>
    </row>
    <row r="14" spans="1:16" ht="24" customHeight="1" x14ac:dyDescent="0.3">
      <c r="A14" s="3">
        <v>12</v>
      </c>
      <c r="B14" s="3" t="s">
        <v>31</v>
      </c>
      <c r="C14" s="3" t="s">
        <v>9</v>
      </c>
      <c r="D14" s="3"/>
      <c r="E14" s="9" t="s">
        <v>114</v>
      </c>
      <c r="F14" s="9">
        <v>0</v>
      </c>
      <c r="G14" s="9">
        <v>0</v>
      </c>
      <c r="H14" s="9">
        <v>0</v>
      </c>
      <c r="I14" s="9">
        <v>0</v>
      </c>
      <c r="J14" s="3">
        <f t="shared" si="0"/>
        <v>0</v>
      </c>
      <c r="K14" s="3" t="s">
        <v>102</v>
      </c>
      <c r="L14" s="3">
        <v>0</v>
      </c>
      <c r="M14" s="3">
        <v>0</v>
      </c>
      <c r="N14" s="3">
        <v>0</v>
      </c>
      <c r="O14" s="3">
        <v>0</v>
      </c>
      <c r="P14" s="3">
        <f t="shared" si="1"/>
        <v>0</v>
      </c>
    </row>
    <row r="15" spans="1:16" ht="24" customHeight="1" x14ac:dyDescent="0.3">
      <c r="A15" s="3">
        <v>13</v>
      </c>
      <c r="B15" s="3" t="s">
        <v>33</v>
      </c>
      <c r="C15" s="3" t="s">
        <v>9</v>
      </c>
      <c r="D15" s="3"/>
      <c r="E15" s="9" t="s">
        <v>114</v>
      </c>
      <c r="F15" s="9">
        <v>0</v>
      </c>
      <c r="G15" s="9">
        <v>0</v>
      </c>
      <c r="H15" s="9">
        <v>0</v>
      </c>
      <c r="I15" s="9">
        <v>0</v>
      </c>
      <c r="J15" s="3">
        <f t="shared" si="0"/>
        <v>0</v>
      </c>
      <c r="K15" s="3" t="s">
        <v>102</v>
      </c>
      <c r="L15" s="3">
        <v>0</v>
      </c>
      <c r="M15" s="3">
        <v>0</v>
      </c>
      <c r="N15" s="3">
        <v>0</v>
      </c>
      <c r="O15" s="3">
        <v>0</v>
      </c>
      <c r="P15" s="3">
        <f t="shared" si="1"/>
        <v>0</v>
      </c>
    </row>
    <row r="16" spans="1:16" ht="24" customHeight="1" x14ac:dyDescent="0.3">
      <c r="A16" s="3">
        <v>14</v>
      </c>
      <c r="B16" s="3" t="s">
        <v>35</v>
      </c>
      <c r="C16" s="3" t="s">
        <v>9</v>
      </c>
      <c r="D16" s="3"/>
      <c r="E16" s="9" t="s">
        <v>114</v>
      </c>
      <c r="F16" s="9">
        <v>0</v>
      </c>
      <c r="G16" s="9">
        <v>0</v>
      </c>
      <c r="H16" s="9">
        <v>0</v>
      </c>
      <c r="I16" s="9">
        <v>0</v>
      </c>
      <c r="J16" s="3">
        <f t="shared" si="0"/>
        <v>0</v>
      </c>
      <c r="K16" s="3" t="s">
        <v>102</v>
      </c>
      <c r="L16" s="3">
        <v>0</v>
      </c>
      <c r="M16" s="3">
        <v>0</v>
      </c>
      <c r="N16" s="3">
        <v>0</v>
      </c>
      <c r="O16" s="3">
        <v>0</v>
      </c>
      <c r="P16" s="3">
        <f t="shared" si="1"/>
        <v>0</v>
      </c>
    </row>
    <row r="17" spans="1:16" ht="24" customHeight="1" x14ac:dyDescent="0.3">
      <c r="A17" s="3">
        <v>15</v>
      </c>
      <c r="B17" s="3" t="s">
        <v>37</v>
      </c>
      <c r="C17" s="3" t="s">
        <v>9</v>
      </c>
      <c r="D17" s="3"/>
      <c r="E17" s="9" t="s">
        <v>114</v>
      </c>
      <c r="F17" s="9">
        <v>0</v>
      </c>
      <c r="G17" s="9">
        <v>0</v>
      </c>
      <c r="H17" s="9">
        <v>0</v>
      </c>
      <c r="I17" s="9">
        <v>0</v>
      </c>
      <c r="J17" s="3">
        <f t="shared" si="0"/>
        <v>0</v>
      </c>
      <c r="K17" s="3" t="s">
        <v>102</v>
      </c>
      <c r="L17" s="3">
        <v>0</v>
      </c>
      <c r="M17" s="3">
        <v>0</v>
      </c>
      <c r="N17" s="3">
        <v>0</v>
      </c>
      <c r="O17" s="3">
        <v>0</v>
      </c>
      <c r="P17" s="3">
        <f t="shared" si="1"/>
        <v>0</v>
      </c>
    </row>
    <row r="18" spans="1:16" ht="24" customHeight="1" x14ac:dyDescent="0.3">
      <c r="A18" s="3">
        <v>16</v>
      </c>
      <c r="B18" s="3" t="s">
        <v>39</v>
      </c>
      <c r="C18" s="3" t="s">
        <v>9</v>
      </c>
      <c r="D18" s="3"/>
      <c r="J18" s="3">
        <f t="shared" si="0"/>
        <v>0</v>
      </c>
      <c r="K18" s="3" t="s">
        <v>102</v>
      </c>
      <c r="L18" s="4">
        <v>1</v>
      </c>
      <c r="M18" s="3">
        <v>0</v>
      </c>
      <c r="N18" s="3">
        <v>0</v>
      </c>
      <c r="O18" s="3">
        <v>0</v>
      </c>
      <c r="P18" s="3">
        <f t="shared" si="1"/>
        <v>1</v>
      </c>
    </row>
    <row r="19" spans="1:16" ht="24" customHeight="1" x14ac:dyDescent="0.3">
      <c r="A19" s="3">
        <v>17</v>
      </c>
      <c r="B19" s="3" t="s">
        <v>41</v>
      </c>
      <c r="C19" s="3" t="s">
        <v>9</v>
      </c>
      <c r="D19" s="3"/>
      <c r="E19" s="9" t="s">
        <v>114</v>
      </c>
      <c r="F19" s="9">
        <v>0</v>
      </c>
      <c r="G19" s="9">
        <v>0</v>
      </c>
      <c r="H19" s="9">
        <v>0</v>
      </c>
      <c r="I19" s="9">
        <v>0</v>
      </c>
      <c r="J19" s="3">
        <f t="shared" si="0"/>
        <v>0</v>
      </c>
      <c r="K19" s="3" t="s">
        <v>102</v>
      </c>
      <c r="L19" s="3">
        <v>0</v>
      </c>
      <c r="M19" s="3">
        <v>0</v>
      </c>
      <c r="N19" s="3">
        <v>0</v>
      </c>
      <c r="O19" s="3">
        <v>0</v>
      </c>
      <c r="P19" s="3">
        <f t="shared" si="1"/>
        <v>0</v>
      </c>
    </row>
    <row r="20" spans="1:16" ht="24" customHeight="1" x14ac:dyDescent="0.3">
      <c r="A20" s="3">
        <v>18</v>
      </c>
      <c r="B20" s="3" t="s">
        <v>43</v>
      </c>
      <c r="C20" s="3" t="s">
        <v>9</v>
      </c>
      <c r="D20" s="3"/>
      <c r="E20" s="9" t="s">
        <v>114</v>
      </c>
      <c r="F20" s="9">
        <v>0</v>
      </c>
      <c r="G20" s="9">
        <v>0</v>
      </c>
      <c r="H20" s="9">
        <v>0</v>
      </c>
      <c r="I20" s="9">
        <v>0</v>
      </c>
      <c r="J20" s="3">
        <f t="shared" si="0"/>
        <v>0</v>
      </c>
      <c r="K20" s="3" t="s">
        <v>102</v>
      </c>
      <c r="L20" s="3">
        <v>0</v>
      </c>
      <c r="M20" s="3">
        <v>0</v>
      </c>
      <c r="N20" s="3">
        <v>0</v>
      </c>
      <c r="O20" s="3">
        <v>0</v>
      </c>
      <c r="P20" s="3">
        <f t="shared" si="1"/>
        <v>0</v>
      </c>
    </row>
    <row r="21" spans="1:16" ht="24" customHeight="1" x14ac:dyDescent="0.3">
      <c r="A21" s="3">
        <v>19</v>
      </c>
      <c r="B21" s="3" t="s">
        <v>45</v>
      </c>
      <c r="C21" s="3" t="s">
        <v>9</v>
      </c>
      <c r="D21" s="3"/>
      <c r="E21" s="9" t="s">
        <v>114</v>
      </c>
      <c r="F21" s="9">
        <v>0</v>
      </c>
      <c r="G21" s="9">
        <v>0</v>
      </c>
      <c r="H21" s="9">
        <v>0</v>
      </c>
      <c r="I21" s="9">
        <v>0</v>
      </c>
      <c r="J21" s="3">
        <f t="shared" si="0"/>
        <v>0</v>
      </c>
      <c r="K21" s="3" t="s">
        <v>102</v>
      </c>
      <c r="L21" s="3">
        <v>0</v>
      </c>
      <c r="M21" s="3">
        <v>0</v>
      </c>
      <c r="N21" s="3">
        <v>0</v>
      </c>
      <c r="O21" s="3">
        <v>0</v>
      </c>
      <c r="P21" s="3">
        <f t="shared" si="1"/>
        <v>0</v>
      </c>
    </row>
    <row r="22" spans="1:16" ht="24" customHeight="1" x14ac:dyDescent="0.3">
      <c r="A22" s="3">
        <v>20</v>
      </c>
      <c r="B22" s="3" t="s">
        <v>47</v>
      </c>
      <c r="C22" s="3" t="s">
        <v>9</v>
      </c>
      <c r="D22" s="3"/>
      <c r="E22" s="9" t="s">
        <v>114</v>
      </c>
      <c r="F22" s="9">
        <v>0</v>
      </c>
      <c r="G22" s="9">
        <v>0</v>
      </c>
      <c r="H22" s="9">
        <v>0</v>
      </c>
      <c r="I22" s="9">
        <v>0</v>
      </c>
      <c r="J22" s="3">
        <f t="shared" si="0"/>
        <v>0</v>
      </c>
      <c r="K22" s="3" t="s">
        <v>102</v>
      </c>
      <c r="L22" s="3">
        <v>0</v>
      </c>
      <c r="M22" s="3">
        <v>0</v>
      </c>
      <c r="N22" s="3">
        <v>0</v>
      </c>
      <c r="O22" s="3">
        <v>0</v>
      </c>
      <c r="P22" s="3">
        <f t="shared" si="1"/>
        <v>0</v>
      </c>
    </row>
    <row r="23" spans="1:16" ht="24" customHeight="1" x14ac:dyDescent="0.3">
      <c r="A23" s="3">
        <v>21</v>
      </c>
      <c r="B23" s="3" t="s">
        <v>49</v>
      </c>
      <c r="C23" s="3" t="s">
        <v>9</v>
      </c>
      <c r="D23" s="3"/>
      <c r="J23" s="3">
        <f t="shared" si="0"/>
        <v>0</v>
      </c>
      <c r="K23" s="3" t="s">
        <v>102</v>
      </c>
      <c r="L23" s="4">
        <v>1</v>
      </c>
      <c r="M23" s="3">
        <v>0</v>
      </c>
      <c r="N23" s="3">
        <v>0</v>
      </c>
      <c r="O23" s="3">
        <v>0</v>
      </c>
      <c r="P23" s="3">
        <f t="shared" si="1"/>
        <v>1</v>
      </c>
    </row>
    <row r="24" spans="1:16" ht="24" customHeight="1" x14ac:dyDescent="0.3">
      <c r="A24" s="3">
        <v>22</v>
      </c>
      <c r="B24" s="3" t="s">
        <v>51</v>
      </c>
      <c r="C24" s="3" t="s">
        <v>9</v>
      </c>
      <c r="D24" s="3"/>
      <c r="E24" s="9" t="s">
        <v>114</v>
      </c>
      <c r="F24" s="9">
        <v>0</v>
      </c>
      <c r="G24" s="9">
        <v>0</v>
      </c>
      <c r="H24" s="9">
        <v>0</v>
      </c>
      <c r="I24" s="9">
        <v>0</v>
      </c>
      <c r="J24" s="3">
        <f t="shared" si="0"/>
        <v>0</v>
      </c>
      <c r="K24" s="3" t="s">
        <v>102</v>
      </c>
      <c r="L24" s="3">
        <v>0</v>
      </c>
      <c r="M24" s="3">
        <v>0</v>
      </c>
      <c r="N24" s="3">
        <v>0</v>
      </c>
      <c r="O24" s="3">
        <v>0</v>
      </c>
      <c r="P24" s="3">
        <f t="shared" si="1"/>
        <v>0</v>
      </c>
    </row>
    <row r="25" spans="1:16" ht="24" customHeight="1" x14ac:dyDescent="0.3">
      <c r="A25" s="3">
        <v>23</v>
      </c>
      <c r="B25" s="3" t="s">
        <v>53</v>
      </c>
      <c r="C25" s="3" t="s">
        <v>9</v>
      </c>
      <c r="D25" s="3"/>
      <c r="E25" s="9" t="s">
        <v>114</v>
      </c>
      <c r="F25" s="9">
        <v>0</v>
      </c>
      <c r="G25" s="9">
        <v>0</v>
      </c>
      <c r="H25" s="9">
        <v>0</v>
      </c>
      <c r="I25" s="9">
        <v>0</v>
      </c>
      <c r="J25" s="3">
        <f t="shared" si="0"/>
        <v>0</v>
      </c>
      <c r="K25" s="3" t="s">
        <v>102</v>
      </c>
      <c r="L25" s="3">
        <v>0</v>
      </c>
      <c r="M25" s="3">
        <v>0</v>
      </c>
      <c r="N25" s="3">
        <v>0</v>
      </c>
      <c r="O25" s="3">
        <v>0</v>
      </c>
      <c r="P25" s="3">
        <f t="shared" si="1"/>
        <v>0</v>
      </c>
    </row>
    <row r="26" spans="1:16" ht="24" customHeight="1" x14ac:dyDescent="0.3">
      <c r="A26" s="3">
        <v>24</v>
      </c>
      <c r="B26" s="3" t="s">
        <v>55</v>
      </c>
      <c r="C26" s="3" t="s">
        <v>9</v>
      </c>
      <c r="D26" s="3"/>
      <c r="E26" s="9" t="s">
        <v>114</v>
      </c>
      <c r="F26" s="9">
        <v>0</v>
      </c>
      <c r="G26" s="9">
        <v>0</v>
      </c>
      <c r="H26" s="9">
        <v>0</v>
      </c>
      <c r="I26" s="9">
        <v>0</v>
      </c>
      <c r="J26" s="3">
        <f t="shared" si="0"/>
        <v>0</v>
      </c>
      <c r="K26" s="3" t="s">
        <v>102</v>
      </c>
      <c r="L26" s="3">
        <v>0</v>
      </c>
      <c r="M26" s="3">
        <v>0</v>
      </c>
      <c r="N26" s="3">
        <v>0</v>
      </c>
      <c r="O26" s="3">
        <v>0</v>
      </c>
      <c r="P26" s="3">
        <f t="shared" si="1"/>
        <v>0</v>
      </c>
    </row>
    <row r="27" spans="1:16" ht="24" customHeight="1" x14ac:dyDescent="0.3">
      <c r="A27" s="3">
        <v>25</v>
      </c>
      <c r="B27" s="3" t="s">
        <v>57</v>
      </c>
      <c r="C27" s="3" t="s">
        <v>9</v>
      </c>
      <c r="D27" s="3"/>
      <c r="J27" s="3">
        <f t="shared" si="0"/>
        <v>0</v>
      </c>
      <c r="K27" s="3" t="s">
        <v>103</v>
      </c>
      <c r="L27" s="4">
        <v>1</v>
      </c>
      <c r="M27" s="4">
        <v>1</v>
      </c>
      <c r="N27" s="3">
        <v>4</v>
      </c>
      <c r="O27" s="3">
        <v>0</v>
      </c>
      <c r="P27" s="3">
        <f t="shared" si="1"/>
        <v>2</v>
      </c>
    </row>
    <row r="28" spans="1:16" ht="24" customHeight="1" x14ac:dyDescent="0.3">
      <c r="A28" s="3">
        <v>26</v>
      </c>
      <c r="B28" s="3" t="s">
        <v>59</v>
      </c>
      <c r="C28" s="3" t="s">
        <v>9</v>
      </c>
      <c r="D28" s="3"/>
      <c r="E28" s="9" t="s">
        <v>115</v>
      </c>
      <c r="F28" s="9">
        <v>0</v>
      </c>
      <c r="G28" s="9">
        <v>0</v>
      </c>
      <c r="H28" s="9">
        <v>0</v>
      </c>
      <c r="I28" s="9">
        <v>0</v>
      </c>
      <c r="J28" s="3">
        <f t="shared" si="0"/>
        <v>0</v>
      </c>
      <c r="K28" s="3" t="s">
        <v>102</v>
      </c>
      <c r="L28" s="3">
        <v>0</v>
      </c>
      <c r="M28" s="3">
        <v>0</v>
      </c>
      <c r="N28" s="3">
        <v>0</v>
      </c>
      <c r="O28" s="3">
        <v>0</v>
      </c>
      <c r="P28" s="3">
        <f t="shared" si="1"/>
        <v>0</v>
      </c>
    </row>
    <row r="29" spans="1:16" ht="24" customHeight="1" x14ac:dyDescent="0.3">
      <c r="A29" s="3">
        <v>27</v>
      </c>
      <c r="B29" s="3" t="s">
        <v>61</v>
      </c>
      <c r="C29" s="3" t="s">
        <v>9</v>
      </c>
      <c r="D29" s="3"/>
      <c r="E29" s="9" t="s">
        <v>114</v>
      </c>
      <c r="F29" s="9">
        <v>0</v>
      </c>
      <c r="G29" s="9">
        <v>0</v>
      </c>
      <c r="H29" s="9">
        <v>0</v>
      </c>
      <c r="I29" s="9">
        <v>0</v>
      </c>
      <c r="J29" s="3">
        <f t="shared" si="0"/>
        <v>0</v>
      </c>
      <c r="K29" s="3" t="s">
        <v>102</v>
      </c>
      <c r="L29" s="3">
        <v>0</v>
      </c>
      <c r="M29" s="3">
        <v>0</v>
      </c>
      <c r="N29" s="3">
        <v>0</v>
      </c>
      <c r="O29" s="3">
        <v>0</v>
      </c>
      <c r="P29" s="3">
        <f t="shared" si="1"/>
        <v>0</v>
      </c>
    </row>
    <row r="30" spans="1:16" ht="24" customHeight="1" x14ac:dyDescent="0.3">
      <c r="A30" s="3">
        <v>28</v>
      </c>
      <c r="B30" s="3" t="s">
        <v>63</v>
      </c>
      <c r="C30" s="3" t="s">
        <v>9</v>
      </c>
      <c r="D30" s="3"/>
      <c r="E30" s="9" t="s">
        <v>114</v>
      </c>
      <c r="F30" s="9">
        <v>0</v>
      </c>
      <c r="G30" s="9">
        <v>0</v>
      </c>
      <c r="H30" s="9">
        <v>0</v>
      </c>
      <c r="I30" s="9">
        <v>0</v>
      </c>
      <c r="J30" s="3">
        <f t="shared" si="0"/>
        <v>0</v>
      </c>
      <c r="K30" s="3" t="s">
        <v>102</v>
      </c>
      <c r="L30" s="4">
        <v>1</v>
      </c>
      <c r="M30" s="4">
        <v>1</v>
      </c>
      <c r="N30" s="3">
        <v>0</v>
      </c>
      <c r="O30" s="3">
        <v>0</v>
      </c>
      <c r="P30" s="3">
        <f t="shared" si="1"/>
        <v>2</v>
      </c>
    </row>
    <row r="31" spans="1:16" ht="24" customHeight="1" x14ac:dyDescent="0.3">
      <c r="A31" s="3">
        <v>29</v>
      </c>
      <c r="B31" s="3" t="s">
        <v>65</v>
      </c>
      <c r="C31" s="3" t="s">
        <v>9</v>
      </c>
      <c r="D31" s="3"/>
      <c r="E31" s="9" t="s">
        <v>114</v>
      </c>
      <c r="F31" s="9">
        <v>0</v>
      </c>
      <c r="G31" s="9">
        <v>0</v>
      </c>
      <c r="H31" s="9">
        <v>0</v>
      </c>
      <c r="I31" s="9">
        <v>0</v>
      </c>
      <c r="J31" s="3">
        <f t="shared" si="0"/>
        <v>0</v>
      </c>
      <c r="K31" s="3" t="s">
        <v>102</v>
      </c>
      <c r="L31" s="3">
        <v>0</v>
      </c>
      <c r="M31" s="3">
        <v>0</v>
      </c>
      <c r="N31" s="3">
        <v>0</v>
      </c>
      <c r="O31" s="3">
        <v>0</v>
      </c>
      <c r="P31" s="3">
        <f t="shared" si="1"/>
        <v>0</v>
      </c>
    </row>
    <row r="32" spans="1:16" ht="24" customHeight="1" x14ac:dyDescent="0.3">
      <c r="A32" s="3">
        <v>30</v>
      </c>
      <c r="B32" s="3" t="s">
        <v>67</v>
      </c>
      <c r="C32" s="3" t="s">
        <v>9</v>
      </c>
      <c r="D32" s="3"/>
      <c r="E32" s="9" t="s">
        <v>114</v>
      </c>
      <c r="F32" s="9">
        <v>0</v>
      </c>
      <c r="G32" s="9">
        <v>0</v>
      </c>
      <c r="H32" s="9">
        <v>0</v>
      </c>
      <c r="I32" s="9">
        <v>0</v>
      </c>
      <c r="J32" s="3">
        <f t="shared" si="0"/>
        <v>0</v>
      </c>
      <c r="K32" s="3" t="s">
        <v>102</v>
      </c>
      <c r="L32" s="3">
        <v>0</v>
      </c>
      <c r="M32" s="3">
        <v>0</v>
      </c>
      <c r="N32" s="3">
        <v>0</v>
      </c>
      <c r="O32" s="3">
        <v>0</v>
      </c>
      <c r="P32" s="3">
        <f t="shared" si="1"/>
        <v>0</v>
      </c>
    </row>
    <row r="33" spans="1:16" ht="24" customHeight="1" x14ac:dyDescent="0.3">
      <c r="A33" s="3">
        <v>31</v>
      </c>
      <c r="B33" s="3" t="s">
        <v>69</v>
      </c>
      <c r="C33" s="3" t="s">
        <v>9</v>
      </c>
      <c r="D33" s="3"/>
      <c r="E33" s="9" t="s">
        <v>114</v>
      </c>
      <c r="F33" s="9">
        <v>0</v>
      </c>
      <c r="G33" s="9">
        <v>0</v>
      </c>
      <c r="H33" s="9">
        <v>0</v>
      </c>
      <c r="I33" s="9">
        <v>0</v>
      </c>
      <c r="J33" s="3">
        <f t="shared" si="0"/>
        <v>0</v>
      </c>
      <c r="K33" s="3" t="s">
        <v>102</v>
      </c>
      <c r="L33" s="3">
        <v>0</v>
      </c>
      <c r="M33" s="3">
        <v>0</v>
      </c>
      <c r="N33" s="3">
        <v>0</v>
      </c>
      <c r="O33" s="3">
        <v>0</v>
      </c>
      <c r="P33" s="3">
        <f t="shared" si="1"/>
        <v>0</v>
      </c>
    </row>
    <row r="34" spans="1:16" ht="24" customHeight="1" x14ac:dyDescent="0.3">
      <c r="A34" s="3">
        <v>32</v>
      </c>
      <c r="B34" s="3" t="s">
        <v>71</v>
      </c>
      <c r="C34" s="3" t="s">
        <v>9</v>
      </c>
      <c r="D34" s="3"/>
      <c r="E34" s="9" t="s">
        <v>114</v>
      </c>
      <c r="F34" s="9">
        <v>0</v>
      </c>
      <c r="G34" s="9">
        <v>0</v>
      </c>
      <c r="H34" s="9">
        <v>0</v>
      </c>
      <c r="I34" s="9">
        <v>0</v>
      </c>
      <c r="J34" s="3">
        <f t="shared" si="0"/>
        <v>0</v>
      </c>
      <c r="K34" s="3" t="s">
        <v>102</v>
      </c>
      <c r="L34" s="3">
        <v>0</v>
      </c>
      <c r="M34" s="3">
        <v>0</v>
      </c>
      <c r="N34" s="3">
        <v>0</v>
      </c>
      <c r="O34" s="3">
        <v>0</v>
      </c>
      <c r="P34" s="3">
        <f t="shared" si="1"/>
        <v>0</v>
      </c>
    </row>
    <row r="35" spans="1:16" ht="24" customHeight="1" x14ac:dyDescent="0.3">
      <c r="A35" s="3">
        <v>33</v>
      </c>
      <c r="B35" s="3" t="s">
        <v>73</v>
      </c>
      <c r="C35" s="3" t="s">
        <v>9</v>
      </c>
      <c r="D35" s="3"/>
      <c r="E35" s="9" t="s">
        <v>114</v>
      </c>
      <c r="F35" s="9">
        <v>0</v>
      </c>
      <c r="G35" s="9">
        <v>0</v>
      </c>
      <c r="H35" s="9">
        <v>0</v>
      </c>
      <c r="I35" s="9">
        <v>0</v>
      </c>
      <c r="J35" s="3">
        <f t="shared" si="0"/>
        <v>0</v>
      </c>
      <c r="K35" s="3" t="s">
        <v>102</v>
      </c>
      <c r="L35" s="3">
        <v>0</v>
      </c>
      <c r="M35" s="3">
        <v>0</v>
      </c>
      <c r="N35" s="3">
        <v>0</v>
      </c>
      <c r="O35" s="3">
        <v>0</v>
      </c>
      <c r="P35" s="3">
        <f t="shared" si="1"/>
        <v>0</v>
      </c>
    </row>
    <row r="36" spans="1:16" ht="24" customHeight="1" x14ac:dyDescent="0.3">
      <c r="A36" s="3">
        <v>34</v>
      </c>
      <c r="B36" s="3" t="s">
        <v>75</v>
      </c>
      <c r="C36" s="3" t="s">
        <v>9</v>
      </c>
      <c r="D36" s="3"/>
      <c r="E36" s="9" t="s">
        <v>114</v>
      </c>
      <c r="F36" s="9">
        <v>0</v>
      </c>
      <c r="G36" s="9">
        <v>0</v>
      </c>
      <c r="H36" s="9">
        <v>0</v>
      </c>
      <c r="I36" s="9">
        <v>0</v>
      </c>
      <c r="J36" s="3">
        <f t="shared" si="0"/>
        <v>0</v>
      </c>
      <c r="K36" s="3" t="s">
        <v>102</v>
      </c>
      <c r="L36" s="3">
        <v>0</v>
      </c>
      <c r="M36" s="3">
        <v>0</v>
      </c>
      <c r="N36" s="3">
        <v>0</v>
      </c>
      <c r="O36" s="3">
        <v>0</v>
      </c>
      <c r="P36" s="3">
        <f t="shared" si="1"/>
        <v>0</v>
      </c>
    </row>
    <row r="37" spans="1:16" ht="24" customHeight="1" x14ac:dyDescent="0.3">
      <c r="A37" s="3">
        <v>35</v>
      </c>
      <c r="B37" s="3" t="s">
        <v>77</v>
      </c>
      <c r="C37" s="3" t="s">
        <v>9</v>
      </c>
      <c r="D37" s="3"/>
      <c r="E37" s="9" t="s">
        <v>114</v>
      </c>
      <c r="F37" s="9">
        <v>0</v>
      </c>
      <c r="G37" s="9">
        <v>0</v>
      </c>
      <c r="H37" s="9">
        <v>0</v>
      </c>
      <c r="I37" s="9">
        <v>0</v>
      </c>
      <c r="J37" s="3">
        <f t="shared" si="0"/>
        <v>0</v>
      </c>
      <c r="K37" s="3" t="s">
        <v>102</v>
      </c>
      <c r="L37" s="3">
        <v>0</v>
      </c>
      <c r="M37" s="3">
        <v>0</v>
      </c>
      <c r="N37" s="3">
        <v>0</v>
      </c>
      <c r="O37" s="3">
        <v>0</v>
      </c>
      <c r="P37" s="3">
        <f t="shared" si="1"/>
        <v>0</v>
      </c>
    </row>
    <row r="38" spans="1:16" ht="24" customHeight="1" x14ac:dyDescent="0.3">
      <c r="A38" s="3">
        <v>36</v>
      </c>
      <c r="B38" s="3" t="s">
        <v>79</v>
      </c>
      <c r="C38" s="3" t="s">
        <v>9</v>
      </c>
      <c r="D38" s="3"/>
      <c r="E38" s="9" t="s">
        <v>114</v>
      </c>
      <c r="F38" s="9">
        <v>0</v>
      </c>
      <c r="G38" s="9">
        <v>0</v>
      </c>
      <c r="H38" s="9">
        <v>0</v>
      </c>
      <c r="I38" s="9">
        <v>0</v>
      </c>
      <c r="J38" s="3">
        <f t="shared" si="0"/>
        <v>0</v>
      </c>
      <c r="K38" s="3" t="s">
        <v>102</v>
      </c>
      <c r="L38" s="3">
        <v>0</v>
      </c>
      <c r="M38" s="3">
        <v>0</v>
      </c>
      <c r="N38" s="3">
        <v>0</v>
      </c>
      <c r="O38" s="3">
        <v>0</v>
      </c>
      <c r="P38" s="3">
        <f t="shared" si="1"/>
        <v>0</v>
      </c>
    </row>
    <row r="39" spans="1:16" ht="24" customHeight="1" x14ac:dyDescent="0.3">
      <c r="A39" s="3">
        <v>37</v>
      </c>
      <c r="B39" s="3" t="s">
        <v>81</v>
      </c>
      <c r="C39" s="3" t="s">
        <v>9</v>
      </c>
      <c r="D39" s="3"/>
      <c r="J39" s="3">
        <f t="shared" si="0"/>
        <v>0</v>
      </c>
      <c r="K39" s="3" t="s">
        <v>102</v>
      </c>
      <c r="L39" s="4">
        <v>2</v>
      </c>
      <c r="M39" s="3">
        <v>0</v>
      </c>
      <c r="N39" s="3">
        <v>0</v>
      </c>
      <c r="O39" s="3">
        <v>0</v>
      </c>
      <c r="P39" s="3">
        <f t="shared" si="1"/>
        <v>2</v>
      </c>
    </row>
    <row r="40" spans="1:16" ht="24" customHeight="1" x14ac:dyDescent="0.3">
      <c r="A40" s="3">
        <v>38</v>
      </c>
      <c r="B40" s="3" t="s">
        <v>83</v>
      </c>
      <c r="C40" s="3" t="s">
        <v>9</v>
      </c>
      <c r="D40" s="3"/>
      <c r="E40" s="9" t="s">
        <v>114</v>
      </c>
      <c r="F40" s="9">
        <v>0</v>
      </c>
      <c r="G40" s="9">
        <v>0</v>
      </c>
      <c r="H40" s="9">
        <v>0</v>
      </c>
      <c r="I40" s="9">
        <v>0</v>
      </c>
      <c r="J40" s="3">
        <f t="shared" si="0"/>
        <v>0</v>
      </c>
      <c r="K40" s="3" t="s">
        <v>102</v>
      </c>
      <c r="L40" s="3">
        <v>0</v>
      </c>
      <c r="M40" s="3">
        <v>0</v>
      </c>
      <c r="N40" s="3">
        <v>0</v>
      </c>
      <c r="O40" s="3">
        <v>0</v>
      </c>
      <c r="P40" s="3">
        <f t="shared" si="1"/>
        <v>0</v>
      </c>
    </row>
    <row r="41" spans="1:16" ht="24" customHeight="1" x14ac:dyDescent="0.3">
      <c r="A41" s="3">
        <v>39</v>
      </c>
      <c r="B41" s="3" t="s">
        <v>85</v>
      </c>
      <c r="C41" s="3" t="s">
        <v>9</v>
      </c>
      <c r="D41" s="3"/>
      <c r="E41" s="9" t="s">
        <v>114</v>
      </c>
      <c r="F41" s="9">
        <v>0</v>
      </c>
      <c r="G41" s="9">
        <v>0</v>
      </c>
      <c r="H41" s="9">
        <v>0</v>
      </c>
      <c r="I41" s="9">
        <v>0</v>
      </c>
      <c r="J41" s="3">
        <f t="shared" si="0"/>
        <v>0</v>
      </c>
      <c r="K41" s="3" t="s">
        <v>102</v>
      </c>
      <c r="L41" s="3">
        <v>0</v>
      </c>
      <c r="M41" s="3">
        <v>0</v>
      </c>
      <c r="N41" s="3">
        <v>0</v>
      </c>
      <c r="O41" s="3">
        <v>0</v>
      </c>
      <c r="P41" s="3">
        <f t="shared" si="1"/>
        <v>0</v>
      </c>
    </row>
    <row r="42" spans="1:16" ht="24" customHeight="1" x14ac:dyDescent="0.3">
      <c r="A42" s="3">
        <v>40</v>
      </c>
      <c r="B42" s="3" t="s">
        <v>87</v>
      </c>
      <c r="C42" s="3" t="s">
        <v>9</v>
      </c>
      <c r="D42" s="3"/>
      <c r="E42" s="9" t="s">
        <v>114</v>
      </c>
      <c r="F42" s="9">
        <v>0</v>
      </c>
      <c r="G42" s="9">
        <v>0</v>
      </c>
      <c r="H42" s="9">
        <v>0</v>
      </c>
      <c r="I42" s="9">
        <v>0</v>
      </c>
      <c r="J42" s="3">
        <f t="shared" si="0"/>
        <v>0</v>
      </c>
      <c r="K42" s="3" t="s">
        <v>102</v>
      </c>
      <c r="L42" s="3">
        <v>0</v>
      </c>
      <c r="M42" s="3">
        <v>0</v>
      </c>
      <c r="N42" s="3">
        <v>0</v>
      </c>
      <c r="O42" s="3">
        <v>0</v>
      </c>
      <c r="P42" s="3">
        <f t="shared" si="1"/>
        <v>0</v>
      </c>
    </row>
    <row r="43" spans="1:16" ht="24" customHeight="1" x14ac:dyDescent="0.3">
      <c r="A43" s="3">
        <v>41</v>
      </c>
      <c r="B43" s="3" t="s">
        <v>89</v>
      </c>
      <c r="C43" s="3" t="s">
        <v>9</v>
      </c>
      <c r="D43" s="3"/>
      <c r="E43" s="9" t="s">
        <v>114</v>
      </c>
      <c r="F43" s="9">
        <v>0</v>
      </c>
      <c r="G43" s="9">
        <v>0</v>
      </c>
      <c r="H43" s="9">
        <v>0</v>
      </c>
      <c r="I43" s="9">
        <v>0</v>
      </c>
      <c r="J43" s="3">
        <f t="shared" si="0"/>
        <v>0</v>
      </c>
      <c r="K43" s="3" t="s">
        <v>102</v>
      </c>
      <c r="L43" s="3">
        <v>0</v>
      </c>
      <c r="M43" s="3">
        <v>0</v>
      </c>
      <c r="N43" s="3">
        <v>0</v>
      </c>
      <c r="O43" s="3">
        <v>0</v>
      </c>
      <c r="P43" s="3">
        <f t="shared" si="1"/>
        <v>0</v>
      </c>
    </row>
    <row r="44" spans="1:16" ht="24" customHeight="1" x14ac:dyDescent="0.3">
      <c r="A44" s="3">
        <v>42</v>
      </c>
      <c r="B44" s="3" t="s">
        <v>91</v>
      </c>
      <c r="C44" s="3" t="s">
        <v>9</v>
      </c>
      <c r="D44" s="3"/>
      <c r="E44" s="9" t="s">
        <v>114</v>
      </c>
      <c r="F44" s="9">
        <v>0</v>
      </c>
      <c r="G44" s="9">
        <v>0</v>
      </c>
      <c r="H44" s="9">
        <v>0</v>
      </c>
      <c r="I44" s="9">
        <v>0</v>
      </c>
      <c r="J44" s="3">
        <f t="shared" si="0"/>
        <v>0</v>
      </c>
      <c r="K44" s="3" t="s">
        <v>102</v>
      </c>
      <c r="L44" s="3">
        <v>0</v>
      </c>
      <c r="M44" s="3">
        <v>0</v>
      </c>
      <c r="N44" s="3">
        <v>0</v>
      </c>
      <c r="O44" s="3">
        <v>0</v>
      </c>
      <c r="P44" s="3">
        <f t="shared" si="1"/>
        <v>0</v>
      </c>
    </row>
    <row r="45" spans="1:16" ht="24" customHeight="1" x14ac:dyDescent="0.3">
      <c r="A45" s="3">
        <v>43</v>
      </c>
      <c r="B45" s="3" t="s">
        <v>93</v>
      </c>
      <c r="C45" s="3" t="s">
        <v>9</v>
      </c>
      <c r="D45" s="3"/>
      <c r="E45" s="9" t="s">
        <v>114</v>
      </c>
      <c r="F45" s="9">
        <v>0</v>
      </c>
      <c r="G45" s="9">
        <v>0</v>
      </c>
      <c r="H45" s="9">
        <v>0</v>
      </c>
      <c r="I45" s="9">
        <v>0</v>
      </c>
      <c r="J45" s="3">
        <f t="shared" si="0"/>
        <v>0</v>
      </c>
      <c r="K45" s="3" t="s">
        <v>102</v>
      </c>
      <c r="L45" s="3">
        <v>0</v>
      </c>
      <c r="M45" s="3">
        <v>0</v>
      </c>
      <c r="N45" s="3">
        <v>0</v>
      </c>
      <c r="O45" s="3">
        <v>0</v>
      </c>
      <c r="P45" s="3">
        <f t="shared" si="1"/>
        <v>0</v>
      </c>
    </row>
    <row r="46" spans="1:16" ht="24" customHeight="1" x14ac:dyDescent="0.3">
      <c r="A46" s="3">
        <v>44</v>
      </c>
      <c r="B46" s="3" t="s">
        <v>95</v>
      </c>
      <c r="C46" s="3" t="s">
        <v>9</v>
      </c>
      <c r="D46" s="3"/>
      <c r="E46" s="9" t="s">
        <v>114</v>
      </c>
      <c r="F46" s="9">
        <v>0</v>
      </c>
      <c r="G46" s="9">
        <v>0</v>
      </c>
      <c r="H46" s="9">
        <v>0</v>
      </c>
      <c r="I46" s="9">
        <v>0</v>
      </c>
      <c r="J46" s="3">
        <f t="shared" si="0"/>
        <v>0</v>
      </c>
      <c r="K46" s="3" t="s">
        <v>102</v>
      </c>
      <c r="L46" s="3">
        <v>0</v>
      </c>
      <c r="M46" s="3">
        <v>0</v>
      </c>
      <c r="N46" s="3">
        <v>0</v>
      </c>
      <c r="O46" s="3">
        <v>0</v>
      </c>
      <c r="P46" s="3">
        <f t="shared" si="1"/>
        <v>0</v>
      </c>
    </row>
    <row r="47" spans="1:16" x14ac:dyDescent="0.3">
      <c r="A47" s="6" t="s">
        <v>113</v>
      </c>
      <c r="B47" s="6"/>
      <c r="C47" s="6"/>
      <c r="D47" s="6"/>
      <c r="E47" s="6"/>
      <c r="F47" s="5">
        <f>SUM(F3:F46)</f>
        <v>0</v>
      </c>
      <c r="G47" s="5">
        <f>SUM(G3:G46)</f>
        <v>0</v>
      </c>
      <c r="H47" s="5">
        <f>SUM(H3:H46)</f>
        <v>0</v>
      </c>
      <c r="I47" s="5">
        <f>SUM(I3:I46)</f>
        <v>0</v>
      </c>
      <c r="J47" s="5">
        <f>SUM(J3:J46)</f>
        <v>0</v>
      </c>
      <c r="K47" s="6"/>
      <c r="L47" s="5">
        <f>SUM(L3:L46)</f>
        <v>12</v>
      </c>
      <c r="M47" s="5">
        <f>SUM(M3:M46)</f>
        <v>2</v>
      </c>
      <c r="N47" s="5">
        <f>SUM(N3:N46)</f>
        <v>5</v>
      </c>
      <c r="O47" s="5">
        <f>SUM(O3:O46)</f>
        <v>0</v>
      </c>
      <c r="P47" s="5">
        <f>SUM(P3:P46)</f>
        <v>14</v>
      </c>
    </row>
  </sheetData>
  <mergeCells count="4">
    <mergeCell ref="K47"/>
    <mergeCell ref="E1:J1"/>
    <mergeCell ref="K1:P1"/>
    <mergeCell ref="A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August'26-Master Sheet</vt:lpstr>
      <vt:lpstr>August'26-ActiveBranches</vt:lpstr>
      <vt:lpstr>August'26-VulnDetails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Lakesh</cp:lastModifiedBy>
  <dcterms:created xsi:type="dcterms:W3CDTF">2026-08-17T06:28:33Z</dcterms:created>
  <dcterms:modified xsi:type="dcterms:W3CDTF">2026-08-17T06:34:45Z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943263-359c-40f3-9055-10c40e962bbe_Enabled">
    <vt:lpwstr>true</vt:lpwstr>
  </property>
  <property fmtid="{D5CDD505-2E9C-101B-9397-08002B2CF9AE}" pid="3" name="MSIP_Label_df943263-359c-40f3-9055-10c40e962bbe_SetDate">
    <vt:lpwstr>2026-08-17T06:32:21Z</vt:lpwstr>
  </property>
  <property fmtid="{D5CDD505-2E9C-101B-9397-08002B2CF9AE}" pid="4" name="MSIP_Label_df943263-359c-40f3-9055-10c40e962bbe_Method">
    <vt:lpwstr>Standard</vt:lpwstr>
  </property>
  <property fmtid="{D5CDD505-2E9C-101B-9397-08002B2CF9AE}" pid="5" name="MSIP_Label_df943263-359c-40f3-9055-10c40e962bbe_Name">
    <vt:lpwstr>Confidential</vt:lpwstr>
  </property>
  <property fmtid="{D5CDD505-2E9C-101B-9397-08002B2CF9AE}" pid="6" name="MSIP_Label_df943263-359c-40f3-9055-10c40e962bbe_SiteId">
    <vt:lpwstr>c70bd33c-499a-46b7-aa9d-b0ff7510fc93</vt:lpwstr>
  </property>
  <property fmtid="{D5CDD505-2E9C-101B-9397-08002B2CF9AE}" pid="7" name="MSIP_Label_df943263-359c-40f3-9055-10c40e962bbe_ActionId">
    <vt:lpwstr>fee26c44-764d-4fd8-9169-d807db59eeec</vt:lpwstr>
  </property>
  <property fmtid="{D5CDD505-2E9C-101B-9397-08002B2CF9AE}" pid="8" name="MSIP_Label_df943263-359c-40f3-9055-10c40e962bbe_ContentBits">
    <vt:lpwstr>0</vt:lpwstr>
  </property>
  <property fmtid="{D5CDD505-2E9C-101B-9397-08002B2CF9AE}" pid="9" name="MSIP_Label_df943263-359c-40f3-9055-10c40e962bbe_Tag">
    <vt:lpwstr>10, 3, 0, 1</vt:lpwstr>
  </property>
</Properties>
</file>